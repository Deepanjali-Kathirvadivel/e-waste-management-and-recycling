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  <sheet xmlns:r="http://schemas.openxmlformats.org/officeDocument/2006/relationships" name="Brand Summary" sheetId="2" state="visible" r:id="rId2"/>
  </sheets>
  <definedNames>
    <definedName name="_xlnm._FilterDatabase" localSheetId="0" hidden="1">'All Records'!$A$1:$H$181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D6F7E4"/>
      </patternFill>
    </fill>
    <fill>
      <patternFill patternType="solid">
        <fgColor rgb="00FFE8D6"/>
      </patternFill>
    </fill>
    <fill>
      <patternFill patternType="solid">
        <fgColor rgb="00FFF3CC"/>
      </patternFill>
    </fill>
    <fill>
      <patternFill patternType="solid">
        <fgColor rgb="00E8D6FF"/>
      </patternFill>
    </fill>
    <fill>
      <patternFill patternType="solid">
        <fgColor rgb="00FFD6EC"/>
      </patternFill>
    </fill>
    <fill>
      <patternFill patternType="solid">
        <fgColor rgb="00D6FFF3"/>
      </patternFill>
    </fill>
    <fill>
      <patternFill patternType="solid">
        <fgColor rgb="00F0F0F0"/>
      </patternFill>
    </fill>
    <fill>
      <patternFill patternType="solid">
        <fgColor rgb="00FFD6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164" fontId="2" fillId="5" borderId="1" pivotButton="0" quotePrefix="0" xfId="0"/>
    <xf numFmtId="165" fontId="2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164" fontId="2" fillId="6" borderId="1" pivotButton="0" quotePrefix="0" xfId="0"/>
    <xf numFmtId="165" fontId="2" fillId="6" borderId="1" pivotButton="0" quotePrefix="0" xfId="0"/>
    <xf numFmtId="0" fontId="2" fillId="7" borderId="1" applyAlignment="1" pivotButton="0" quotePrefix="0" xfId="0">
      <alignment horizontal="center"/>
    </xf>
    <xf numFmtId="0" fontId="2" fillId="7" borderId="1" pivotButton="0" quotePrefix="0" xfId="0"/>
    <xf numFmtId="164" fontId="2" fillId="7" borderId="1" pivotButton="0" quotePrefix="0" xfId="0"/>
    <xf numFmtId="165" fontId="2" fillId="7" borderId="1" pivotButton="0" quotePrefix="0" xfId="0"/>
    <xf numFmtId="0" fontId="2" fillId="8" borderId="1" applyAlignment="1" pivotButton="0" quotePrefix="0" xfId="0">
      <alignment horizontal="center"/>
    </xf>
    <xf numFmtId="0" fontId="2" fillId="8" borderId="1" pivotButton="0" quotePrefix="0" xfId="0"/>
    <xf numFmtId="164" fontId="2" fillId="8" borderId="1" pivotButton="0" quotePrefix="0" xfId="0"/>
    <xf numFmtId="165" fontId="2" fillId="8" borderId="1" pivotButton="0" quotePrefix="0" xfId="0"/>
    <xf numFmtId="0" fontId="2" fillId="9" borderId="1" applyAlignment="1" pivotButton="0" quotePrefix="0" xfId="0">
      <alignment horizontal="center"/>
    </xf>
    <xf numFmtId="0" fontId="2" fillId="9" borderId="1" pivotButton="0" quotePrefix="0" xfId="0"/>
    <xf numFmtId="164" fontId="2" fillId="9" borderId="1" pivotButton="0" quotePrefix="0" xfId="0"/>
    <xf numFmtId="165" fontId="2" fillId="9" borderId="1" pivotButton="0" quotePrefix="0" xfId="0"/>
    <xf numFmtId="0" fontId="2" fillId="10" borderId="1" applyAlignment="1" pivotButton="0" quotePrefix="0" xfId="0">
      <alignment horizontal="center"/>
    </xf>
    <xf numFmtId="0" fontId="2" fillId="10" borderId="1" pivotButton="0" quotePrefix="0" xfId="0"/>
    <xf numFmtId="164" fontId="2" fillId="10" borderId="1" pivotButton="0" quotePrefix="0" xfId="0"/>
    <xf numFmtId="165" fontId="2" fillId="10" borderId="1" pivotButton="0" quotePrefix="0" xfId="0"/>
    <xf numFmtId="0" fontId="2" fillId="11" borderId="1" applyAlignment="1" pivotButton="0" quotePrefix="0" xfId="0">
      <alignment horizontal="center"/>
    </xf>
    <xf numFmtId="0" fontId="2" fillId="11" borderId="1" pivotButton="0" quotePrefix="0" xfId="0"/>
    <xf numFmtId="164" fontId="2" fillId="11" borderId="1" pivotButton="0" quotePrefix="0" xfId="0"/>
    <xf numFmtId="165" fontId="2" fillId="11" borderId="1" pivotButton="0" quotePrefix="0" xfId="0"/>
    <xf numFmtId="0" fontId="3" fillId="12" borderId="1" pivotButton="0" quotePrefix="0" xfId="0"/>
    <xf numFmtId="164" fontId="3" fillId="12" borderId="1" pivotButton="0" quotePrefix="0" xfId="0"/>
    <xf numFmtId="166" fontId="3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8" customWidth="1" min="4" max="4"/>
    <col width="16" customWidth="1" min="5" max="5"/>
    <col width="24" customWidth="1" min="6" max="6"/>
    <col width="16" customWidth="1" min="7" max="7"/>
    <col width="12" customWidth="1" min="8" max="8"/>
  </cols>
  <sheetData>
    <row r="1" ht="35" customHeight="1">
      <c r="A1" s="1" t="inlineStr">
        <is>
          <t>#</t>
        </is>
      </c>
      <c r="B1" s="1" t="inlineStr">
        <is>
          <t>Company</t>
        </is>
      </c>
      <c r="C1" s="1" t="inlineStr">
        <is>
          <t>Model</t>
        </is>
      </c>
      <c r="D1" s="1" t="inlineStr">
        <is>
          <t>Retail Price (₹)</t>
        </is>
      </c>
      <c r="E1" s="1" t="inlineStr">
        <is>
          <t>Rebuy Value (₹)</t>
        </is>
      </c>
      <c r="F1" s="1" t="inlineStr">
        <is>
          <t>Expected Lifetime (Years)</t>
        </is>
      </c>
      <c r="G1" s="1" t="inlineStr">
        <is>
          <t>Scrap Value (₹)</t>
        </is>
      </c>
      <c r="H1" s="1" t="inlineStr">
        <is>
          <t>Rebuy %</t>
        </is>
      </c>
    </row>
    <row r="2">
      <c r="A2" s="2" t="n">
        <v>1</v>
      </c>
      <c r="B2" s="3" t="inlineStr">
        <is>
          <t>Apple</t>
        </is>
      </c>
      <c r="C2" s="3" t="inlineStr">
        <is>
          <t>iPhone 15 Pro Max</t>
        </is>
      </c>
      <c r="D2" s="4" t="n">
        <v>159900</v>
      </c>
      <c r="E2" s="4" t="n">
        <v>71955</v>
      </c>
      <c r="F2" s="2" t="n">
        <v>6</v>
      </c>
      <c r="G2" s="4" t="n">
        <v>9594</v>
      </c>
      <c r="H2" s="5">
        <f>E2/D2</f>
        <v/>
      </c>
    </row>
    <row r="3">
      <c r="A3" s="2" t="n">
        <v>2</v>
      </c>
      <c r="B3" s="3" t="inlineStr">
        <is>
          <t>Apple</t>
        </is>
      </c>
      <c r="C3" s="3" t="inlineStr">
        <is>
          <t>iPhone 15 Pro</t>
        </is>
      </c>
      <c r="D3" s="4" t="n">
        <v>134900</v>
      </c>
      <c r="E3" s="4" t="n">
        <v>60705</v>
      </c>
      <c r="F3" s="2" t="n">
        <v>6</v>
      </c>
      <c r="G3" s="4" t="n">
        <v>8094</v>
      </c>
      <c r="H3" s="5">
        <f>E3/D3</f>
        <v/>
      </c>
    </row>
    <row r="4">
      <c r="A4" s="2" t="n">
        <v>3</v>
      </c>
      <c r="B4" s="3" t="inlineStr">
        <is>
          <t>Apple</t>
        </is>
      </c>
      <c r="C4" s="3" t="inlineStr">
        <is>
          <t>iPhone 15 Plus</t>
        </is>
      </c>
      <c r="D4" s="4" t="n">
        <v>89900</v>
      </c>
      <c r="E4" s="4" t="n">
        <v>40455</v>
      </c>
      <c r="F4" s="2" t="n">
        <v>7</v>
      </c>
      <c r="G4" s="4" t="n">
        <v>5394</v>
      </c>
      <c r="H4" s="5">
        <f>E4/D4</f>
        <v/>
      </c>
    </row>
    <row r="5">
      <c r="A5" s="2" t="n">
        <v>4</v>
      </c>
      <c r="B5" s="3" t="inlineStr">
        <is>
          <t>Apple</t>
        </is>
      </c>
      <c r="C5" s="3" t="inlineStr">
        <is>
          <t>iPhone 15</t>
        </is>
      </c>
      <c r="D5" s="4" t="n">
        <v>79900</v>
      </c>
      <c r="E5" s="4" t="n">
        <v>35955</v>
      </c>
      <c r="F5" s="2" t="n">
        <v>7</v>
      </c>
      <c r="G5" s="4" t="n">
        <v>4794</v>
      </c>
      <c r="H5" s="5">
        <f>E5/D5</f>
        <v/>
      </c>
    </row>
    <row r="6">
      <c r="A6" s="2" t="n">
        <v>5</v>
      </c>
      <c r="B6" s="3" t="inlineStr">
        <is>
          <t>Apple</t>
        </is>
      </c>
      <c r="C6" s="3" t="inlineStr">
        <is>
          <t>iPhone 14 Pro Max</t>
        </is>
      </c>
      <c r="D6" s="4" t="n">
        <v>139900</v>
      </c>
      <c r="E6" s="4" t="n">
        <v>62955</v>
      </c>
      <c r="F6" s="2" t="n">
        <v>7</v>
      </c>
      <c r="G6" s="4" t="n">
        <v>8394</v>
      </c>
      <c r="H6" s="5">
        <f>E6/D6</f>
        <v/>
      </c>
    </row>
    <row r="7">
      <c r="A7" s="2" t="n">
        <v>6</v>
      </c>
      <c r="B7" s="3" t="inlineStr">
        <is>
          <t>Apple</t>
        </is>
      </c>
      <c r="C7" s="3" t="inlineStr">
        <is>
          <t>iPhone 14 Pro</t>
        </is>
      </c>
      <c r="D7" s="4" t="n">
        <v>119900</v>
      </c>
      <c r="E7" s="4" t="n">
        <v>53955</v>
      </c>
      <c r="F7" s="2" t="n">
        <v>7</v>
      </c>
      <c r="G7" s="4" t="n">
        <v>7194</v>
      </c>
      <c r="H7" s="5">
        <f>E7/D7</f>
        <v/>
      </c>
    </row>
    <row r="8">
      <c r="A8" s="2" t="n">
        <v>7</v>
      </c>
      <c r="B8" s="3" t="inlineStr">
        <is>
          <t>Apple</t>
        </is>
      </c>
      <c r="C8" s="3" t="inlineStr">
        <is>
          <t>iPhone 14 Plus</t>
        </is>
      </c>
      <c r="D8" s="4" t="n">
        <v>89900</v>
      </c>
      <c r="E8" s="4" t="n">
        <v>40455</v>
      </c>
      <c r="F8" s="2" t="n">
        <v>7</v>
      </c>
      <c r="G8" s="4" t="n">
        <v>5394</v>
      </c>
      <c r="H8" s="5">
        <f>E8/D8</f>
        <v/>
      </c>
    </row>
    <row r="9">
      <c r="A9" s="2" t="n">
        <v>8</v>
      </c>
      <c r="B9" s="3" t="inlineStr">
        <is>
          <t>Apple</t>
        </is>
      </c>
      <c r="C9" s="3" t="inlineStr">
        <is>
          <t>iPhone 14</t>
        </is>
      </c>
      <c r="D9" s="4" t="n">
        <v>79900</v>
      </c>
      <c r="E9" s="4" t="n">
        <v>35955</v>
      </c>
      <c r="F9" s="2" t="n">
        <v>8</v>
      </c>
      <c r="G9" s="4" t="n">
        <v>4794</v>
      </c>
      <c r="H9" s="5">
        <f>E9/D9</f>
        <v/>
      </c>
    </row>
    <row r="10">
      <c r="A10" s="2" t="n">
        <v>9</v>
      </c>
      <c r="B10" s="3" t="inlineStr">
        <is>
          <t>Apple</t>
        </is>
      </c>
      <c r="C10" s="3" t="inlineStr">
        <is>
          <t>iPhone 13 Pro Max</t>
        </is>
      </c>
      <c r="D10" s="4" t="n">
        <v>129900</v>
      </c>
      <c r="E10" s="4" t="n">
        <v>58455</v>
      </c>
      <c r="F10" s="2" t="n">
        <v>8</v>
      </c>
      <c r="G10" s="4" t="n">
        <v>7794</v>
      </c>
      <c r="H10" s="5">
        <f>E10/D10</f>
        <v/>
      </c>
    </row>
    <row r="11">
      <c r="A11" s="2" t="n">
        <v>10</v>
      </c>
      <c r="B11" s="3" t="inlineStr">
        <is>
          <t>Apple</t>
        </is>
      </c>
      <c r="C11" s="3" t="inlineStr">
        <is>
          <t>iPhone 13 Pro</t>
        </is>
      </c>
      <c r="D11" s="4" t="n">
        <v>109900</v>
      </c>
      <c r="E11" s="4" t="n">
        <v>49455</v>
      </c>
      <c r="F11" s="2" t="n">
        <v>8</v>
      </c>
      <c r="G11" s="4" t="n">
        <v>6594</v>
      </c>
      <c r="H11" s="5">
        <f>E11/D11</f>
        <v/>
      </c>
    </row>
    <row r="12">
      <c r="A12" s="2" t="n">
        <v>11</v>
      </c>
      <c r="B12" s="3" t="inlineStr">
        <is>
          <t>Apple</t>
        </is>
      </c>
      <c r="C12" s="3" t="inlineStr">
        <is>
          <t>iPhone 13</t>
        </is>
      </c>
      <c r="D12" s="4" t="n">
        <v>79900</v>
      </c>
      <c r="E12" s="4" t="n">
        <v>35955</v>
      </c>
      <c r="F12" s="2" t="n">
        <v>8</v>
      </c>
      <c r="G12" s="4" t="n">
        <v>4794</v>
      </c>
      <c r="H12" s="5">
        <f>E12/D12</f>
        <v/>
      </c>
    </row>
    <row r="13">
      <c r="A13" s="2" t="n">
        <v>12</v>
      </c>
      <c r="B13" s="3" t="inlineStr">
        <is>
          <t>Apple</t>
        </is>
      </c>
      <c r="C13" s="3" t="inlineStr">
        <is>
          <t>iPhone 13 Mini</t>
        </is>
      </c>
      <c r="D13" s="4" t="n">
        <v>69900</v>
      </c>
      <c r="E13" s="4" t="n">
        <v>31455</v>
      </c>
      <c r="F13" s="2" t="n">
        <v>8</v>
      </c>
      <c r="G13" s="4" t="n">
        <v>4194</v>
      </c>
      <c r="H13" s="5">
        <f>E13/D13</f>
        <v/>
      </c>
    </row>
    <row r="14">
      <c r="A14" s="2" t="n">
        <v>13</v>
      </c>
      <c r="B14" s="3" t="inlineStr">
        <is>
          <t>Apple</t>
        </is>
      </c>
      <c r="C14" s="3" t="inlineStr">
        <is>
          <t>iPhone 12</t>
        </is>
      </c>
      <c r="D14" s="4" t="n">
        <v>59900</v>
      </c>
      <c r="E14" s="4" t="n">
        <v>26955</v>
      </c>
      <c r="F14" s="2" t="n">
        <v>9</v>
      </c>
      <c r="G14" s="4" t="n">
        <v>3594</v>
      </c>
      <c r="H14" s="5">
        <f>E14/D14</f>
        <v/>
      </c>
    </row>
    <row r="15">
      <c r="A15" s="2" t="n">
        <v>14</v>
      </c>
      <c r="B15" s="3" t="inlineStr">
        <is>
          <t>Apple</t>
        </is>
      </c>
      <c r="C15" s="3" t="inlineStr">
        <is>
          <t>iPhone 12 Mini</t>
        </is>
      </c>
      <c r="D15" s="4" t="n">
        <v>49900</v>
      </c>
      <c r="E15" s="4" t="n">
        <v>22455</v>
      </c>
      <c r="F15" s="2" t="n">
        <v>9</v>
      </c>
      <c r="G15" s="4" t="n">
        <v>2994</v>
      </c>
      <c r="H15" s="5">
        <f>E15/D15</f>
        <v/>
      </c>
    </row>
    <row r="16">
      <c r="A16" s="2" t="n">
        <v>15</v>
      </c>
      <c r="B16" s="3" t="inlineStr">
        <is>
          <t>Apple</t>
        </is>
      </c>
      <c r="C16" s="3" t="inlineStr">
        <is>
          <t>iPhone SE (3rd Gen)</t>
        </is>
      </c>
      <c r="D16" s="4" t="n">
        <v>49900</v>
      </c>
      <c r="E16" s="4" t="n">
        <v>22455</v>
      </c>
      <c r="F16" s="2" t="n">
        <v>6</v>
      </c>
      <c r="G16" s="4" t="n">
        <v>2994</v>
      </c>
      <c r="H16" s="5">
        <f>E16/D16</f>
        <v/>
      </c>
    </row>
    <row r="17">
      <c r="A17" s="2" t="n">
        <v>16</v>
      </c>
      <c r="B17" s="3" t="inlineStr">
        <is>
          <t>Apple</t>
        </is>
      </c>
      <c r="C17" s="3" t="inlineStr">
        <is>
          <t>iPad Pro 12.9 M4</t>
        </is>
      </c>
      <c r="D17" s="4" t="n">
        <v>169900</v>
      </c>
      <c r="E17" s="4" t="n">
        <v>76455</v>
      </c>
      <c r="F17" s="2" t="n">
        <v>7</v>
      </c>
      <c r="G17" s="4" t="n">
        <v>10194</v>
      </c>
      <c r="H17" s="5">
        <f>E17/D17</f>
        <v/>
      </c>
    </row>
    <row r="18">
      <c r="A18" s="2" t="n">
        <v>17</v>
      </c>
      <c r="B18" s="3" t="inlineStr">
        <is>
          <t>Apple</t>
        </is>
      </c>
      <c r="C18" s="3" t="inlineStr">
        <is>
          <t>iPad Pro 11 M4</t>
        </is>
      </c>
      <c r="D18" s="4" t="n">
        <v>119900</v>
      </c>
      <c r="E18" s="4" t="n">
        <v>53955</v>
      </c>
      <c r="F18" s="2" t="n">
        <v>7</v>
      </c>
      <c r="G18" s="4" t="n">
        <v>7194</v>
      </c>
      <c r="H18" s="5">
        <f>E18/D18</f>
        <v/>
      </c>
    </row>
    <row r="19">
      <c r="A19" s="2" t="n">
        <v>18</v>
      </c>
      <c r="B19" s="3" t="inlineStr">
        <is>
          <t>Apple</t>
        </is>
      </c>
      <c r="C19" s="3" t="inlineStr">
        <is>
          <t>iPad Air M2</t>
        </is>
      </c>
      <c r="D19" s="4" t="n">
        <v>74900</v>
      </c>
      <c r="E19" s="4" t="n">
        <v>33705</v>
      </c>
      <c r="F19" s="2" t="n">
        <v>6</v>
      </c>
      <c r="G19" s="4" t="n">
        <v>4494</v>
      </c>
      <c r="H19" s="5">
        <f>E19/D19</f>
        <v/>
      </c>
    </row>
    <row r="20">
      <c r="A20" s="2" t="n">
        <v>19</v>
      </c>
      <c r="B20" s="3" t="inlineStr">
        <is>
          <t>Apple</t>
        </is>
      </c>
      <c r="C20" s="3" t="inlineStr">
        <is>
          <t>iPad Mini 6</t>
        </is>
      </c>
      <c r="D20" s="4" t="n">
        <v>49900</v>
      </c>
      <c r="E20" s="4" t="n">
        <v>22455</v>
      </c>
      <c r="F20" s="2" t="n">
        <v>6</v>
      </c>
      <c r="G20" s="4" t="n">
        <v>2994</v>
      </c>
      <c r="H20" s="5">
        <f>E20/D20</f>
        <v/>
      </c>
    </row>
    <row r="21">
      <c r="A21" s="2" t="n">
        <v>20</v>
      </c>
      <c r="B21" s="3" t="inlineStr">
        <is>
          <t>Apple</t>
        </is>
      </c>
      <c r="C21" s="3" t="inlineStr">
        <is>
          <t>iPad 10th Gen</t>
        </is>
      </c>
      <c r="D21" s="4" t="n">
        <v>44900</v>
      </c>
      <c r="E21" s="4" t="n">
        <v>20205</v>
      </c>
      <c r="F21" s="2" t="n">
        <v>5</v>
      </c>
      <c r="G21" s="4" t="n">
        <v>2694</v>
      </c>
      <c r="H21" s="5">
        <f>E21/D21</f>
        <v/>
      </c>
    </row>
    <row r="22">
      <c r="A22" s="2" t="n">
        <v>21</v>
      </c>
      <c r="B22" s="3" t="inlineStr">
        <is>
          <t>Apple</t>
        </is>
      </c>
      <c r="C22" s="3" t="inlineStr">
        <is>
          <t>MacBook Air M3</t>
        </is>
      </c>
      <c r="D22" s="4" t="n">
        <v>114900</v>
      </c>
      <c r="E22" s="4" t="n">
        <v>51705</v>
      </c>
      <c r="F22" s="2" t="n">
        <v>6</v>
      </c>
      <c r="G22" s="4" t="n">
        <v>6894</v>
      </c>
      <c r="H22" s="5">
        <f>E22/D22</f>
        <v/>
      </c>
    </row>
    <row r="23">
      <c r="A23" s="2" t="n">
        <v>22</v>
      </c>
      <c r="B23" s="3" t="inlineStr">
        <is>
          <t>Apple</t>
        </is>
      </c>
      <c r="C23" s="3" t="inlineStr">
        <is>
          <t>MacBook Pro 14 M3</t>
        </is>
      </c>
      <c r="D23" s="4" t="n">
        <v>199900</v>
      </c>
      <c r="E23" s="4" t="n">
        <v>89955</v>
      </c>
      <c r="F23" s="2" t="n">
        <v>7</v>
      </c>
      <c r="G23" s="4" t="n">
        <v>11994</v>
      </c>
      <c r="H23" s="5">
        <f>E23/D23</f>
        <v/>
      </c>
    </row>
    <row r="24">
      <c r="A24" s="2" t="n">
        <v>23</v>
      </c>
      <c r="B24" s="3" t="inlineStr">
        <is>
          <t>Apple</t>
        </is>
      </c>
      <c r="C24" s="3" t="inlineStr">
        <is>
          <t>MacBook Pro 16 M3</t>
        </is>
      </c>
      <c r="D24" s="4" t="n">
        <v>249900</v>
      </c>
      <c r="E24" s="4" t="n">
        <v>112455</v>
      </c>
      <c r="F24" s="2" t="n">
        <v>7</v>
      </c>
      <c r="G24" s="4" t="n">
        <v>14994</v>
      </c>
      <c r="H24" s="5">
        <f>E24/D24</f>
        <v/>
      </c>
    </row>
    <row r="25">
      <c r="A25" s="2" t="n">
        <v>24</v>
      </c>
      <c r="B25" s="3" t="inlineStr">
        <is>
          <t>Apple</t>
        </is>
      </c>
      <c r="C25" s="3" t="inlineStr">
        <is>
          <t>Apple Watch Series 9</t>
        </is>
      </c>
      <c r="D25" s="4" t="n">
        <v>41900</v>
      </c>
      <c r="E25" s="4" t="n">
        <v>18855</v>
      </c>
      <c r="F25" s="2" t="n">
        <v>4</v>
      </c>
      <c r="G25" s="4" t="n">
        <v>2514</v>
      </c>
      <c r="H25" s="5">
        <f>E25/D25</f>
        <v/>
      </c>
    </row>
    <row r="26">
      <c r="A26" s="2" t="n">
        <v>25</v>
      </c>
      <c r="B26" s="3" t="inlineStr">
        <is>
          <t>Apple</t>
        </is>
      </c>
      <c r="C26" s="3" t="inlineStr">
        <is>
          <t>AirPods Pro 2nd Gen</t>
        </is>
      </c>
      <c r="D26" s="4" t="n">
        <v>26900</v>
      </c>
      <c r="E26" s="4" t="n">
        <v>12105</v>
      </c>
      <c r="F26" s="2" t="n">
        <v>3</v>
      </c>
      <c r="G26" s="4" t="n">
        <v>1614</v>
      </c>
      <c r="H26" s="5">
        <f>E26/D26</f>
        <v/>
      </c>
    </row>
    <row r="27">
      <c r="A27" s="6" t="n">
        <v>26</v>
      </c>
      <c r="B27" s="7" t="inlineStr">
        <is>
          <t>Samsung</t>
        </is>
      </c>
      <c r="C27" s="7" t="inlineStr">
        <is>
          <t>Galaxy S24 Ultra</t>
        </is>
      </c>
      <c r="D27" s="8" t="n">
        <v>134999</v>
      </c>
      <c r="E27" s="8" t="n">
        <v>60750</v>
      </c>
      <c r="F27" s="6" t="n">
        <v>5</v>
      </c>
      <c r="G27" s="8" t="n">
        <v>8100</v>
      </c>
      <c r="H27" s="9">
        <f>E27/D27</f>
        <v/>
      </c>
    </row>
    <row r="28">
      <c r="A28" s="6" t="n">
        <v>27</v>
      </c>
      <c r="B28" s="7" t="inlineStr">
        <is>
          <t>Samsung</t>
        </is>
      </c>
      <c r="C28" s="7" t="inlineStr">
        <is>
          <t>Galaxy S24+</t>
        </is>
      </c>
      <c r="D28" s="8" t="n">
        <v>99999</v>
      </c>
      <c r="E28" s="8" t="n">
        <v>44999</v>
      </c>
      <c r="F28" s="6" t="n">
        <v>5</v>
      </c>
      <c r="G28" s="8" t="n">
        <v>6000</v>
      </c>
      <c r="H28" s="9">
        <f>E28/D28</f>
        <v/>
      </c>
    </row>
    <row r="29">
      <c r="A29" s="6" t="n">
        <v>28</v>
      </c>
      <c r="B29" s="7" t="inlineStr">
        <is>
          <t>Samsung</t>
        </is>
      </c>
      <c r="C29" s="7" t="inlineStr">
        <is>
          <t>Galaxy S24</t>
        </is>
      </c>
      <c r="D29" s="8" t="n">
        <v>79999</v>
      </c>
      <c r="E29" s="8" t="n">
        <v>35999</v>
      </c>
      <c r="F29" s="6" t="n">
        <v>5</v>
      </c>
      <c r="G29" s="8" t="n">
        <v>4800</v>
      </c>
      <c r="H29" s="9">
        <f>E29/D29</f>
        <v/>
      </c>
    </row>
    <row r="30">
      <c r="A30" s="6" t="n">
        <v>29</v>
      </c>
      <c r="B30" s="7" t="inlineStr">
        <is>
          <t>Samsung</t>
        </is>
      </c>
      <c r="C30" s="7" t="inlineStr">
        <is>
          <t>Galaxy S24 FE</t>
        </is>
      </c>
      <c r="D30" s="8" t="n">
        <v>59999</v>
      </c>
      <c r="E30" s="8" t="n">
        <v>26999</v>
      </c>
      <c r="F30" s="6" t="n">
        <v>5</v>
      </c>
      <c r="G30" s="8" t="n">
        <v>3600</v>
      </c>
      <c r="H30" s="9">
        <f>E30/D30</f>
        <v/>
      </c>
    </row>
    <row r="31">
      <c r="A31" s="6" t="n">
        <v>30</v>
      </c>
      <c r="B31" s="7" t="inlineStr">
        <is>
          <t>Samsung</t>
        </is>
      </c>
      <c r="C31" s="7" t="inlineStr">
        <is>
          <t>Galaxy S23 Ultra</t>
        </is>
      </c>
      <c r="D31" s="8" t="n">
        <v>114999</v>
      </c>
      <c r="E31" s="8" t="n">
        <v>51750</v>
      </c>
      <c r="F31" s="6" t="n">
        <v>6</v>
      </c>
      <c r="G31" s="8" t="n">
        <v>6900</v>
      </c>
      <c r="H31" s="9">
        <f>E31/D31</f>
        <v/>
      </c>
    </row>
    <row r="32">
      <c r="A32" s="6" t="n">
        <v>31</v>
      </c>
      <c r="B32" s="7" t="inlineStr">
        <is>
          <t>Samsung</t>
        </is>
      </c>
      <c r="C32" s="7" t="inlineStr">
        <is>
          <t>Galaxy S23+</t>
        </is>
      </c>
      <c r="D32" s="8" t="n">
        <v>94999</v>
      </c>
      <c r="E32" s="8" t="n">
        <v>42750</v>
      </c>
      <c r="F32" s="6" t="n">
        <v>6</v>
      </c>
      <c r="G32" s="8" t="n">
        <v>5700</v>
      </c>
      <c r="H32" s="9">
        <f>E32/D32</f>
        <v/>
      </c>
    </row>
    <row r="33">
      <c r="A33" s="6" t="n">
        <v>32</v>
      </c>
      <c r="B33" s="7" t="inlineStr">
        <is>
          <t>Samsung</t>
        </is>
      </c>
      <c r="C33" s="7" t="inlineStr">
        <is>
          <t>Galaxy S23</t>
        </is>
      </c>
      <c r="D33" s="8" t="n">
        <v>74999</v>
      </c>
      <c r="E33" s="8" t="n">
        <v>33750</v>
      </c>
      <c r="F33" s="6" t="n">
        <v>6</v>
      </c>
      <c r="G33" s="8" t="n">
        <v>4500</v>
      </c>
      <c r="H33" s="9">
        <f>E33/D33</f>
        <v/>
      </c>
    </row>
    <row r="34">
      <c r="A34" s="6" t="n">
        <v>33</v>
      </c>
      <c r="B34" s="7" t="inlineStr">
        <is>
          <t>Samsung</t>
        </is>
      </c>
      <c r="C34" s="7" t="inlineStr">
        <is>
          <t>Galaxy S23 FE</t>
        </is>
      </c>
      <c r="D34" s="8" t="n">
        <v>49999</v>
      </c>
      <c r="E34" s="8" t="n">
        <v>22500</v>
      </c>
      <c r="F34" s="6" t="n">
        <v>5</v>
      </c>
      <c r="G34" s="8" t="n">
        <v>3000</v>
      </c>
      <c r="H34" s="9">
        <f>E34/D34</f>
        <v/>
      </c>
    </row>
    <row r="35">
      <c r="A35" s="6" t="n">
        <v>34</v>
      </c>
      <c r="B35" s="7" t="inlineStr">
        <is>
          <t>Samsung</t>
        </is>
      </c>
      <c r="C35" s="7" t="inlineStr">
        <is>
          <t>Galaxy Z Fold 5</t>
        </is>
      </c>
      <c r="D35" s="8" t="n">
        <v>164999</v>
      </c>
      <c r="E35" s="8" t="n">
        <v>74250</v>
      </c>
      <c r="F35" s="6" t="n">
        <v>5</v>
      </c>
      <c r="G35" s="8" t="n">
        <v>9900</v>
      </c>
      <c r="H35" s="9">
        <f>E35/D35</f>
        <v/>
      </c>
    </row>
    <row r="36">
      <c r="A36" s="6" t="n">
        <v>35</v>
      </c>
      <c r="B36" s="7" t="inlineStr">
        <is>
          <t>Samsung</t>
        </is>
      </c>
      <c r="C36" s="7" t="inlineStr">
        <is>
          <t>Galaxy Z Flip 5</t>
        </is>
      </c>
      <c r="D36" s="8" t="n">
        <v>99999</v>
      </c>
      <c r="E36" s="8" t="n">
        <v>44999</v>
      </c>
      <c r="F36" s="6" t="n">
        <v>4</v>
      </c>
      <c r="G36" s="8" t="n">
        <v>6000</v>
      </c>
      <c r="H36" s="9">
        <f>E36/D36</f>
        <v/>
      </c>
    </row>
    <row r="37">
      <c r="A37" s="6" t="n">
        <v>36</v>
      </c>
      <c r="B37" s="7" t="inlineStr">
        <is>
          <t>Samsung</t>
        </is>
      </c>
      <c r="C37" s="7" t="inlineStr">
        <is>
          <t>Galaxy Z Fold 4</t>
        </is>
      </c>
      <c r="D37" s="8" t="n">
        <v>149999</v>
      </c>
      <c r="E37" s="8" t="n">
        <v>67500</v>
      </c>
      <c r="F37" s="6" t="n">
        <v>5</v>
      </c>
      <c r="G37" s="8" t="n">
        <v>9000</v>
      </c>
      <c r="H37" s="9">
        <f>E37/D37</f>
        <v/>
      </c>
    </row>
    <row r="38">
      <c r="A38" s="6" t="n">
        <v>37</v>
      </c>
      <c r="B38" s="7" t="inlineStr">
        <is>
          <t>Samsung</t>
        </is>
      </c>
      <c r="C38" s="7" t="inlineStr">
        <is>
          <t>Galaxy A55 5G</t>
        </is>
      </c>
      <c r="D38" s="8" t="n">
        <v>34999</v>
      </c>
      <c r="E38" s="8" t="n">
        <v>15750</v>
      </c>
      <c r="F38" s="6" t="n">
        <v>4</v>
      </c>
      <c r="G38" s="8" t="n">
        <v>2100</v>
      </c>
      <c r="H38" s="9">
        <f>E38/D38</f>
        <v/>
      </c>
    </row>
    <row r="39">
      <c r="A39" s="6" t="n">
        <v>38</v>
      </c>
      <c r="B39" s="7" t="inlineStr">
        <is>
          <t>Samsung</t>
        </is>
      </c>
      <c r="C39" s="7" t="inlineStr">
        <is>
          <t>Galaxy A35 5G</t>
        </is>
      </c>
      <c r="D39" s="8" t="n">
        <v>27999</v>
      </c>
      <c r="E39" s="8" t="n">
        <v>12600</v>
      </c>
      <c r="F39" s="6" t="n">
        <v>4</v>
      </c>
      <c r="G39" s="8" t="n">
        <v>1680</v>
      </c>
      <c r="H39" s="9">
        <f>E39/D39</f>
        <v/>
      </c>
    </row>
    <row r="40">
      <c r="A40" s="6" t="n">
        <v>39</v>
      </c>
      <c r="B40" s="7" t="inlineStr">
        <is>
          <t>Samsung</t>
        </is>
      </c>
      <c r="C40" s="7" t="inlineStr">
        <is>
          <t>Galaxy A25 5G</t>
        </is>
      </c>
      <c r="D40" s="8" t="n">
        <v>17999</v>
      </c>
      <c r="E40" s="8" t="n">
        <v>8100</v>
      </c>
      <c r="F40" s="6" t="n">
        <v>4</v>
      </c>
      <c r="G40" s="8" t="n">
        <v>1080</v>
      </c>
      <c r="H40" s="9">
        <f>E40/D40</f>
        <v/>
      </c>
    </row>
    <row r="41">
      <c r="A41" s="6" t="n">
        <v>40</v>
      </c>
      <c r="B41" s="7" t="inlineStr">
        <is>
          <t>Samsung</t>
        </is>
      </c>
      <c r="C41" s="7" t="inlineStr">
        <is>
          <t>Galaxy A15 5G</t>
        </is>
      </c>
      <c r="D41" s="8" t="n">
        <v>13999</v>
      </c>
      <c r="E41" s="8" t="n">
        <v>6300</v>
      </c>
      <c r="F41" s="6" t="n">
        <v>3</v>
      </c>
      <c r="G41" s="8" t="n">
        <v>840</v>
      </c>
      <c r="H41" s="9">
        <f>E41/D41</f>
        <v/>
      </c>
    </row>
    <row r="42">
      <c r="A42" s="6" t="n">
        <v>41</v>
      </c>
      <c r="B42" s="7" t="inlineStr">
        <is>
          <t>Samsung</t>
        </is>
      </c>
      <c r="C42" s="7" t="inlineStr">
        <is>
          <t>Galaxy M55</t>
        </is>
      </c>
      <c r="D42" s="8" t="n">
        <v>29999</v>
      </c>
      <c r="E42" s="8" t="n">
        <v>13500</v>
      </c>
      <c r="F42" s="6" t="n">
        <v>4</v>
      </c>
      <c r="G42" s="8" t="n">
        <v>1800</v>
      </c>
      <c r="H42" s="9">
        <f>E42/D42</f>
        <v/>
      </c>
    </row>
    <row r="43">
      <c r="A43" s="6" t="n">
        <v>42</v>
      </c>
      <c r="B43" s="7" t="inlineStr">
        <is>
          <t>Samsung</t>
        </is>
      </c>
      <c r="C43" s="7" t="inlineStr">
        <is>
          <t>Galaxy M35</t>
        </is>
      </c>
      <c r="D43" s="8" t="n">
        <v>22999</v>
      </c>
      <c r="E43" s="8" t="n">
        <v>10350</v>
      </c>
      <c r="F43" s="6" t="n">
        <v>4</v>
      </c>
      <c r="G43" s="8" t="n">
        <v>1380</v>
      </c>
      <c r="H43" s="9">
        <f>E43/D43</f>
        <v/>
      </c>
    </row>
    <row r="44">
      <c r="A44" s="6" t="n">
        <v>43</v>
      </c>
      <c r="B44" s="7" t="inlineStr">
        <is>
          <t>Samsung</t>
        </is>
      </c>
      <c r="C44" s="7" t="inlineStr">
        <is>
          <t>Galaxy M15</t>
        </is>
      </c>
      <c r="D44" s="8" t="n">
        <v>11999</v>
      </c>
      <c r="E44" s="8" t="n">
        <v>5400</v>
      </c>
      <c r="F44" s="6" t="n">
        <v>3</v>
      </c>
      <c r="G44" s="8" t="n">
        <v>720</v>
      </c>
      <c r="H44" s="9">
        <f>E44/D44</f>
        <v/>
      </c>
    </row>
    <row r="45">
      <c r="A45" s="6" t="n">
        <v>44</v>
      </c>
      <c r="B45" s="7" t="inlineStr">
        <is>
          <t>Samsung</t>
        </is>
      </c>
      <c r="C45" s="7" t="inlineStr">
        <is>
          <t>Galaxy F55</t>
        </is>
      </c>
      <c r="D45" s="8" t="n">
        <v>27999</v>
      </c>
      <c r="E45" s="8" t="n">
        <v>12600</v>
      </c>
      <c r="F45" s="6" t="n">
        <v>4</v>
      </c>
      <c r="G45" s="8" t="n">
        <v>1680</v>
      </c>
      <c r="H45" s="9">
        <f>E45/D45</f>
        <v/>
      </c>
    </row>
    <row r="46">
      <c r="A46" s="6" t="n">
        <v>45</v>
      </c>
      <c r="B46" s="7" t="inlineStr">
        <is>
          <t>Samsung</t>
        </is>
      </c>
      <c r="C46" s="7" t="inlineStr">
        <is>
          <t>Galaxy Tab S9 Ultra</t>
        </is>
      </c>
      <c r="D46" s="8" t="n">
        <v>108999</v>
      </c>
      <c r="E46" s="8" t="n">
        <v>49050</v>
      </c>
      <c r="F46" s="6" t="n">
        <v>6</v>
      </c>
      <c r="G46" s="8" t="n">
        <v>6540</v>
      </c>
      <c r="H46" s="9">
        <f>E46/D46</f>
        <v/>
      </c>
    </row>
    <row r="47">
      <c r="A47" s="6" t="n">
        <v>46</v>
      </c>
      <c r="B47" s="7" t="inlineStr">
        <is>
          <t>Samsung</t>
        </is>
      </c>
      <c r="C47" s="7" t="inlineStr">
        <is>
          <t>Galaxy Tab S9+</t>
        </is>
      </c>
      <c r="D47" s="8" t="n">
        <v>84999</v>
      </c>
      <c r="E47" s="8" t="n">
        <v>38250</v>
      </c>
      <c r="F47" s="6" t="n">
        <v>6</v>
      </c>
      <c r="G47" s="8" t="n">
        <v>5100</v>
      </c>
      <c r="H47" s="9">
        <f>E47/D47</f>
        <v/>
      </c>
    </row>
    <row r="48">
      <c r="A48" s="6" t="n">
        <v>47</v>
      </c>
      <c r="B48" s="7" t="inlineStr">
        <is>
          <t>Samsung</t>
        </is>
      </c>
      <c r="C48" s="7" t="inlineStr">
        <is>
          <t>Galaxy Tab S9</t>
        </is>
      </c>
      <c r="D48" s="8" t="n">
        <v>72999</v>
      </c>
      <c r="E48" s="8" t="n">
        <v>32850</v>
      </c>
      <c r="F48" s="6" t="n">
        <v>5</v>
      </c>
      <c r="G48" s="8" t="n">
        <v>4380</v>
      </c>
      <c r="H48" s="9">
        <f>E48/D48</f>
        <v/>
      </c>
    </row>
    <row r="49">
      <c r="A49" s="6" t="n">
        <v>48</v>
      </c>
      <c r="B49" s="7" t="inlineStr">
        <is>
          <t>Samsung</t>
        </is>
      </c>
      <c r="C49" s="7" t="inlineStr">
        <is>
          <t>Galaxy Tab S9 FE</t>
        </is>
      </c>
      <c r="D49" s="8" t="n">
        <v>44999</v>
      </c>
      <c r="E49" s="8" t="n">
        <v>20250</v>
      </c>
      <c r="F49" s="6" t="n">
        <v>5</v>
      </c>
      <c r="G49" s="8" t="n">
        <v>2700</v>
      </c>
      <c r="H49" s="9">
        <f>E49/D49</f>
        <v/>
      </c>
    </row>
    <row r="50">
      <c r="A50" s="6" t="n">
        <v>49</v>
      </c>
      <c r="B50" s="7" t="inlineStr">
        <is>
          <t>Samsung</t>
        </is>
      </c>
      <c r="C50" s="7" t="inlineStr">
        <is>
          <t>Galaxy Watch 6 Classic</t>
        </is>
      </c>
      <c r="D50" s="8" t="n">
        <v>34999</v>
      </c>
      <c r="E50" s="8" t="n">
        <v>15750</v>
      </c>
      <c r="F50" s="6" t="n">
        <v>4</v>
      </c>
      <c r="G50" s="8" t="n">
        <v>2100</v>
      </c>
      <c r="H50" s="9">
        <f>E50/D50</f>
        <v/>
      </c>
    </row>
    <row r="51">
      <c r="A51" s="6" t="n">
        <v>50</v>
      </c>
      <c r="B51" s="7" t="inlineStr">
        <is>
          <t>Samsung</t>
        </is>
      </c>
      <c r="C51" s="7" t="inlineStr">
        <is>
          <t>Galaxy Watch 6</t>
        </is>
      </c>
      <c r="D51" s="8" t="n">
        <v>24999</v>
      </c>
      <c r="E51" s="8" t="n">
        <v>11250</v>
      </c>
      <c r="F51" s="6" t="n">
        <v>4</v>
      </c>
      <c r="G51" s="8" t="n">
        <v>1500</v>
      </c>
      <c r="H51" s="9">
        <f>E51/D51</f>
        <v/>
      </c>
    </row>
    <row r="52">
      <c r="A52" s="6" t="n">
        <v>51</v>
      </c>
      <c r="B52" s="7" t="inlineStr">
        <is>
          <t>Samsung</t>
        </is>
      </c>
      <c r="C52" s="7" t="inlineStr">
        <is>
          <t>Galaxy Buds 2 Pro</t>
        </is>
      </c>
      <c r="D52" s="8" t="n">
        <v>17999</v>
      </c>
      <c r="E52" s="8" t="n">
        <v>8100</v>
      </c>
      <c r="F52" s="6" t="n">
        <v>3</v>
      </c>
      <c r="G52" s="8" t="n">
        <v>1080</v>
      </c>
      <c r="H52" s="9">
        <f>E52/D52</f>
        <v/>
      </c>
    </row>
    <row r="53">
      <c r="A53" s="6" t="n">
        <v>52</v>
      </c>
      <c r="B53" s="7" t="inlineStr">
        <is>
          <t>Samsung</t>
        </is>
      </c>
      <c r="C53" s="7" t="inlineStr">
        <is>
          <t>Galaxy Book 3 Pro</t>
        </is>
      </c>
      <c r="D53" s="8" t="n">
        <v>144999</v>
      </c>
      <c r="E53" s="8" t="n">
        <v>65250</v>
      </c>
      <c r="F53" s="6" t="n">
        <v>6</v>
      </c>
      <c r="G53" s="8" t="n">
        <v>8700</v>
      </c>
      <c r="H53" s="9">
        <f>E53/D53</f>
        <v/>
      </c>
    </row>
    <row r="54">
      <c r="A54" s="6" t="n">
        <v>53</v>
      </c>
      <c r="B54" s="7" t="inlineStr">
        <is>
          <t>Samsung</t>
        </is>
      </c>
      <c r="C54" s="7" t="inlineStr">
        <is>
          <t>Galaxy Book 3 360</t>
        </is>
      </c>
      <c r="D54" s="8" t="n">
        <v>99999</v>
      </c>
      <c r="E54" s="8" t="n">
        <v>44999</v>
      </c>
      <c r="F54" s="6" t="n">
        <v>5</v>
      </c>
      <c r="G54" s="8" t="n">
        <v>6000</v>
      </c>
      <c r="H54" s="9">
        <f>E54/D54</f>
        <v/>
      </c>
    </row>
    <row r="55">
      <c r="A55" s="10" t="n">
        <v>54</v>
      </c>
      <c r="B55" s="11" t="inlineStr">
        <is>
          <t>OnePlus</t>
        </is>
      </c>
      <c r="C55" s="11" t="inlineStr">
        <is>
          <t>OnePlus 12</t>
        </is>
      </c>
      <c r="D55" s="12" t="n">
        <v>69999</v>
      </c>
      <c r="E55" s="12" t="n">
        <v>31500</v>
      </c>
      <c r="F55" s="10" t="n">
        <v>5</v>
      </c>
      <c r="G55" s="12" t="n">
        <v>4200</v>
      </c>
      <c r="H55" s="13">
        <f>E55/D55</f>
        <v/>
      </c>
    </row>
    <row r="56">
      <c r="A56" s="10" t="n">
        <v>55</v>
      </c>
      <c r="B56" s="11" t="inlineStr">
        <is>
          <t>OnePlus</t>
        </is>
      </c>
      <c r="C56" s="11" t="inlineStr">
        <is>
          <t>OnePlus 12R</t>
        </is>
      </c>
      <c r="D56" s="12" t="n">
        <v>39999</v>
      </c>
      <c r="E56" s="12" t="n">
        <v>17999</v>
      </c>
      <c r="F56" s="10" t="n">
        <v>4</v>
      </c>
      <c r="G56" s="12" t="n">
        <v>2400</v>
      </c>
      <c r="H56" s="13">
        <f>E56/D56</f>
        <v/>
      </c>
    </row>
    <row r="57">
      <c r="A57" s="10" t="n">
        <v>56</v>
      </c>
      <c r="B57" s="11" t="inlineStr">
        <is>
          <t>OnePlus</t>
        </is>
      </c>
      <c r="C57" s="11" t="inlineStr">
        <is>
          <t>OnePlus 11</t>
        </is>
      </c>
      <c r="D57" s="12" t="n">
        <v>56999</v>
      </c>
      <c r="E57" s="12" t="n">
        <v>25650</v>
      </c>
      <c r="F57" s="10" t="n">
        <v>5</v>
      </c>
      <c r="G57" s="12" t="n">
        <v>3420</v>
      </c>
      <c r="H57" s="13">
        <f>E57/D57</f>
        <v/>
      </c>
    </row>
    <row r="58">
      <c r="A58" s="10" t="n">
        <v>57</v>
      </c>
      <c r="B58" s="11" t="inlineStr">
        <is>
          <t>OnePlus</t>
        </is>
      </c>
      <c r="C58" s="11" t="inlineStr">
        <is>
          <t>OnePlus 11R</t>
        </is>
      </c>
      <c r="D58" s="12" t="n">
        <v>33999</v>
      </c>
      <c r="E58" s="12" t="n">
        <v>15300</v>
      </c>
      <c r="F58" s="10" t="n">
        <v>4</v>
      </c>
      <c r="G58" s="12" t="n">
        <v>2040</v>
      </c>
      <c r="H58" s="13">
        <f>E58/D58</f>
        <v/>
      </c>
    </row>
    <row r="59">
      <c r="A59" s="10" t="n">
        <v>58</v>
      </c>
      <c r="B59" s="11" t="inlineStr">
        <is>
          <t>OnePlus</t>
        </is>
      </c>
      <c r="C59" s="11" t="inlineStr">
        <is>
          <t>OnePlus 10 Pro</t>
        </is>
      </c>
      <c r="D59" s="12" t="n">
        <v>66999</v>
      </c>
      <c r="E59" s="12" t="n">
        <v>30150</v>
      </c>
      <c r="F59" s="10" t="n">
        <v>5</v>
      </c>
      <c r="G59" s="12" t="n">
        <v>4020</v>
      </c>
      <c r="H59" s="13">
        <f>E59/D59</f>
        <v/>
      </c>
    </row>
    <row r="60">
      <c r="A60" s="10" t="n">
        <v>59</v>
      </c>
      <c r="B60" s="11" t="inlineStr">
        <is>
          <t>OnePlus</t>
        </is>
      </c>
      <c r="C60" s="11" t="inlineStr">
        <is>
          <t>OnePlus 10T</t>
        </is>
      </c>
      <c r="D60" s="12" t="n">
        <v>49999</v>
      </c>
      <c r="E60" s="12" t="n">
        <v>22500</v>
      </c>
      <c r="F60" s="10" t="n">
        <v>5</v>
      </c>
      <c r="G60" s="12" t="n">
        <v>3000</v>
      </c>
      <c r="H60" s="13">
        <f>E60/D60</f>
        <v/>
      </c>
    </row>
    <row r="61">
      <c r="A61" s="10" t="n">
        <v>60</v>
      </c>
      <c r="B61" s="11" t="inlineStr">
        <is>
          <t>OnePlus</t>
        </is>
      </c>
      <c r="C61" s="11" t="inlineStr">
        <is>
          <t>OnePlus Nord 4</t>
        </is>
      </c>
      <c r="D61" s="12" t="n">
        <v>29999</v>
      </c>
      <c r="E61" s="12" t="n">
        <v>13500</v>
      </c>
      <c r="F61" s="10" t="n">
        <v>4</v>
      </c>
      <c r="G61" s="12" t="n">
        <v>1800</v>
      </c>
      <c r="H61" s="13">
        <f>E61/D61</f>
        <v/>
      </c>
    </row>
    <row r="62">
      <c r="A62" s="10" t="n">
        <v>61</v>
      </c>
      <c r="B62" s="11" t="inlineStr">
        <is>
          <t>OnePlus</t>
        </is>
      </c>
      <c r="C62" s="11" t="inlineStr">
        <is>
          <t>OnePlus Nord CE 4</t>
        </is>
      </c>
      <c r="D62" s="12" t="n">
        <v>24999</v>
      </c>
      <c r="E62" s="12" t="n">
        <v>11250</v>
      </c>
      <c r="F62" s="10" t="n">
        <v>4</v>
      </c>
      <c r="G62" s="12" t="n">
        <v>1500</v>
      </c>
      <c r="H62" s="13">
        <f>E62/D62</f>
        <v/>
      </c>
    </row>
    <row r="63">
      <c r="A63" s="10" t="n">
        <v>62</v>
      </c>
      <c r="B63" s="11" t="inlineStr">
        <is>
          <t>OnePlus</t>
        </is>
      </c>
      <c r="C63" s="11" t="inlineStr">
        <is>
          <t>OnePlus Nord CE 4 Lite</t>
        </is>
      </c>
      <c r="D63" s="12" t="n">
        <v>17999</v>
      </c>
      <c r="E63" s="12" t="n">
        <v>8100</v>
      </c>
      <c r="F63" s="10" t="n">
        <v>3</v>
      </c>
      <c r="G63" s="12" t="n">
        <v>1080</v>
      </c>
      <c r="H63" s="13">
        <f>E63/D63</f>
        <v/>
      </c>
    </row>
    <row r="64">
      <c r="A64" s="10" t="n">
        <v>63</v>
      </c>
      <c r="B64" s="11" t="inlineStr">
        <is>
          <t>OnePlus</t>
        </is>
      </c>
      <c r="C64" s="11" t="inlineStr">
        <is>
          <t>OnePlus Nord CE 3</t>
        </is>
      </c>
      <c r="D64" s="12" t="n">
        <v>24999</v>
      </c>
      <c r="E64" s="12" t="n">
        <v>11250</v>
      </c>
      <c r="F64" s="10" t="n">
        <v>4</v>
      </c>
      <c r="G64" s="12" t="n">
        <v>1500</v>
      </c>
      <c r="H64" s="13">
        <f>E64/D64</f>
        <v/>
      </c>
    </row>
    <row r="65">
      <c r="A65" s="10" t="n">
        <v>64</v>
      </c>
      <c r="B65" s="11" t="inlineStr">
        <is>
          <t>OnePlus</t>
        </is>
      </c>
      <c r="C65" s="11" t="inlineStr">
        <is>
          <t>OnePlus Nord CE 3 Lite</t>
        </is>
      </c>
      <c r="D65" s="12" t="n">
        <v>15999</v>
      </c>
      <c r="E65" s="12" t="n">
        <v>7200</v>
      </c>
      <c r="F65" s="10" t="n">
        <v>3</v>
      </c>
      <c r="G65" s="12" t="n">
        <v>960</v>
      </c>
      <c r="H65" s="13">
        <f>E65/D65</f>
        <v/>
      </c>
    </row>
    <row r="66">
      <c r="A66" s="10" t="n">
        <v>65</v>
      </c>
      <c r="B66" s="11" t="inlineStr">
        <is>
          <t>OnePlus</t>
        </is>
      </c>
      <c r="C66" s="11" t="inlineStr">
        <is>
          <t>OnePlus Nord 3</t>
        </is>
      </c>
      <c r="D66" s="12" t="n">
        <v>33999</v>
      </c>
      <c r="E66" s="12" t="n">
        <v>15300</v>
      </c>
      <c r="F66" s="10" t="n">
        <v>4</v>
      </c>
      <c r="G66" s="12" t="n">
        <v>2040</v>
      </c>
      <c r="H66" s="13">
        <f>E66/D66</f>
        <v/>
      </c>
    </row>
    <row r="67">
      <c r="A67" s="10" t="n">
        <v>66</v>
      </c>
      <c r="B67" s="11" t="inlineStr">
        <is>
          <t>OnePlus</t>
        </is>
      </c>
      <c r="C67" s="11" t="inlineStr">
        <is>
          <t>OnePlus Nord 2T</t>
        </is>
      </c>
      <c r="D67" s="12" t="n">
        <v>27999</v>
      </c>
      <c r="E67" s="12" t="n">
        <v>12600</v>
      </c>
      <c r="F67" s="10" t="n">
        <v>4</v>
      </c>
      <c r="G67" s="12" t="n">
        <v>1680</v>
      </c>
      <c r="H67" s="13">
        <f>E67/D67</f>
        <v/>
      </c>
    </row>
    <row r="68">
      <c r="A68" s="10" t="n">
        <v>67</v>
      </c>
      <c r="B68" s="11" t="inlineStr">
        <is>
          <t>OnePlus</t>
        </is>
      </c>
      <c r="C68" s="11" t="inlineStr">
        <is>
          <t>OnePlus Open</t>
        </is>
      </c>
      <c r="D68" s="12" t="n">
        <v>139999</v>
      </c>
      <c r="E68" s="12" t="n">
        <v>62999</v>
      </c>
      <c r="F68" s="10" t="n">
        <v>5</v>
      </c>
      <c r="G68" s="12" t="n">
        <v>8400</v>
      </c>
      <c r="H68" s="13">
        <f>E68/D68</f>
        <v/>
      </c>
    </row>
    <row r="69">
      <c r="A69" s="10" t="n">
        <v>68</v>
      </c>
      <c r="B69" s="11" t="inlineStr">
        <is>
          <t>OnePlus</t>
        </is>
      </c>
      <c r="C69" s="11" t="inlineStr">
        <is>
          <t>OnePlus Pad 2</t>
        </is>
      </c>
      <c r="D69" s="12" t="n">
        <v>49999</v>
      </c>
      <c r="E69" s="12" t="n">
        <v>22500</v>
      </c>
      <c r="F69" s="10" t="n">
        <v>5</v>
      </c>
      <c r="G69" s="12" t="n">
        <v>3000</v>
      </c>
      <c r="H69" s="13">
        <f>E69/D69</f>
        <v/>
      </c>
    </row>
    <row r="70">
      <c r="A70" s="10" t="n">
        <v>69</v>
      </c>
      <c r="B70" s="11" t="inlineStr">
        <is>
          <t>OnePlus</t>
        </is>
      </c>
      <c r="C70" s="11" t="inlineStr">
        <is>
          <t>OnePlus Pad</t>
        </is>
      </c>
      <c r="D70" s="12" t="n">
        <v>39999</v>
      </c>
      <c r="E70" s="12" t="n">
        <v>17999</v>
      </c>
      <c r="F70" s="10" t="n">
        <v>5</v>
      </c>
      <c r="G70" s="12" t="n">
        <v>2400</v>
      </c>
      <c r="H70" s="13">
        <f>E70/D70</f>
        <v/>
      </c>
    </row>
    <row r="71">
      <c r="A71" s="10" t="n">
        <v>70</v>
      </c>
      <c r="B71" s="11" t="inlineStr">
        <is>
          <t>OnePlus</t>
        </is>
      </c>
      <c r="C71" s="11" t="inlineStr">
        <is>
          <t>OnePlus Watch 2</t>
        </is>
      </c>
      <c r="D71" s="12" t="n">
        <v>19999</v>
      </c>
      <c r="E71" s="12" t="n">
        <v>8999</v>
      </c>
      <c r="F71" s="10" t="n">
        <v>3</v>
      </c>
      <c r="G71" s="12" t="n">
        <v>1200</v>
      </c>
      <c r="H71" s="13">
        <f>E71/D71</f>
        <v/>
      </c>
    </row>
    <row r="72">
      <c r="A72" s="10" t="n">
        <v>71</v>
      </c>
      <c r="B72" s="11" t="inlineStr">
        <is>
          <t>OnePlus</t>
        </is>
      </c>
      <c r="C72" s="11" t="inlineStr">
        <is>
          <t>OnePlus Buds Pro 2</t>
        </is>
      </c>
      <c r="D72" s="12" t="n">
        <v>11999</v>
      </c>
      <c r="E72" s="12" t="n">
        <v>5400</v>
      </c>
      <c r="F72" s="10" t="n">
        <v>3</v>
      </c>
      <c r="G72" s="12" t="n">
        <v>720</v>
      </c>
      <c r="H72" s="13">
        <f>E72/D72</f>
        <v/>
      </c>
    </row>
    <row r="73">
      <c r="A73" s="10" t="n">
        <v>72</v>
      </c>
      <c r="B73" s="11" t="inlineStr">
        <is>
          <t>OnePlus</t>
        </is>
      </c>
      <c r="C73" s="11" t="inlineStr">
        <is>
          <t>OnePlus 9 Pro</t>
        </is>
      </c>
      <c r="D73" s="12" t="n">
        <v>52999</v>
      </c>
      <c r="E73" s="12" t="n">
        <v>23850</v>
      </c>
      <c r="F73" s="10" t="n">
        <v>6</v>
      </c>
      <c r="G73" s="12" t="n">
        <v>3180</v>
      </c>
      <c r="H73" s="13">
        <f>E73/D73</f>
        <v/>
      </c>
    </row>
    <row r="74">
      <c r="A74" s="10" t="n">
        <v>73</v>
      </c>
      <c r="B74" s="11" t="inlineStr">
        <is>
          <t>OnePlus</t>
        </is>
      </c>
      <c r="C74" s="11" t="inlineStr">
        <is>
          <t>OnePlus 9</t>
        </is>
      </c>
      <c r="D74" s="12" t="n">
        <v>39999</v>
      </c>
      <c r="E74" s="12" t="n">
        <v>17999</v>
      </c>
      <c r="F74" s="10" t="n">
        <v>5</v>
      </c>
      <c r="G74" s="12" t="n">
        <v>2400</v>
      </c>
      <c r="H74" s="13">
        <f>E74/D74</f>
        <v/>
      </c>
    </row>
    <row r="75">
      <c r="A75" s="14" t="n">
        <v>74</v>
      </c>
      <c r="B75" s="15" t="inlineStr">
        <is>
          <t>Xiaomi</t>
        </is>
      </c>
      <c r="C75" s="15" t="inlineStr">
        <is>
          <t>Xiaomi 14 Ultra</t>
        </is>
      </c>
      <c r="D75" s="16" t="n">
        <v>99999</v>
      </c>
      <c r="E75" s="16" t="n">
        <v>44999</v>
      </c>
      <c r="F75" s="14" t="n">
        <v>5</v>
      </c>
      <c r="G75" s="16" t="n">
        <v>6000</v>
      </c>
      <c r="H75" s="17">
        <f>E75/D75</f>
        <v/>
      </c>
    </row>
    <row r="76">
      <c r="A76" s="14" t="n">
        <v>75</v>
      </c>
      <c r="B76" s="15" t="inlineStr">
        <is>
          <t>Xiaomi</t>
        </is>
      </c>
      <c r="C76" s="15" t="inlineStr">
        <is>
          <t>Xiaomi 14</t>
        </is>
      </c>
      <c r="D76" s="16" t="n">
        <v>79999</v>
      </c>
      <c r="E76" s="16" t="n">
        <v>35999</v>
      </c>
      <c r="F76" s="14" t="n">
        <v>5</v>
      </c>
      <c r="G76" s="16" t="n">
        <v>4800</v>
      </c>
      <c r="H76" s="17">
        <f>E76/D76</f>
        <v/>
      </c>
    </row>
    <row r="77">
      <c r="A77" s="14" t="n">
        <v>76</v>
      </c>
      <c r="B77" s="15" t="inlineStr">
        <is>
          <t>Xiaomi</t>
        </is>
      </c>
      <c r="C77" s="15" t="inlineStr">
        <is>
          <t>Xiaomi 13 Pro</t>
        </is>
      </c>
      <c r="D77" s="16" t="n">
        <v>79999</v>
      </c>
      <c r="E77" s="16" t="n">
        <v>35999</v>
      </c>
      <c r="F77" s="14" t="n">
        <v>5</v>
      </c>
      <c r="G77" s="16" t="n">
        <v>4800</v>
      </c>
      <c r="H77" s="17">
        <f>E77/D77</f>
        <v/>
      </c>
    </row>
    <row r="78">
      <c r="A78" s="14" t="n">
        <v>77</v>
      </c>
      <c r="B78" s="15" t="inlineStr">
        <is>
          <t>Xiaomi</t>
        </is>
      </c>
      <c r="C78" s="15" t="inlineStr">
        <is>
          <t>Xiaomi 13</t>
        </is>
      </c>
      <c r="D78" s="16" t="n">
        <v>64999</v>
      </c>
      <c r="E78" s="16" t="n">
        <v>29250</v>
      </c>
      <c r="F78" s="14" t="n">
        <v>5</v>
      </c>
      <c r="G78" s="16" t="n">
        <v>3900</v>
      </c>
      <c r="H78" s="17">
        <f>E78/D78</f>
        <v/>
      </c>
    </row>
    <row r="79">
      <c r="A79" s="14" t="n">
        <v>78</v>
      </c>
      <c r="B79" s="15" t="inlineStr">
        <is>
          <t>Xiaomi</t>
        </is>
      </c>
      <c r="C79" s="15" t="inlineStr">
        <is>
          <t>Redmi Note 13 Pro+</t>
        </is>
      </c>
      <c r="D79" s="16" t="n">
        <v>29999</v>
      </c>
      <c r="E79" s="16" t="n">
        <v>13500</v>
      </c>
      <c r="F79" s="14" t="n">
        <v>4</v>
      </c>
      <c r="G79" s="16" t="n">
        <v>1800</v>
      </c>
      <c r="H79" s="17">
        <f>E79/D79</f>
        <v/>
      </c>
    </row>
    <row r="80">
      <c r="A80" s="14" t="n">
        <v>79</v>
      </c>
      <c r="B80" s="15" t="inlineStr">
        <is>
          <t>Xiaomi</t>
        </is>
      </c>
      <c r="C80" s="15" t="inlineStr">
        <is>
          <t>Redmi Note 13 Pro</t>
        </is>
      </c>
      <c r="D80" s="16" t="n">
        <v>24999</v>
      </c>
      <c r="E80" s="16" t="n">
        <v>11250</v>
      </c>
      <c r="F80" s="14" t="n">
        <v>4</v>
      </c>
      <c r="G80" s="16" t="n">
        <v>1500</v>
      </c>
      <c r="H80" s="17">
        <f>E80/D80</f>
        <v/>
      </c>
    </row>
    <row r="81">
      <c r="A81" s="14" t="n">
        <v>80</v>
      </c>
      <c r="B81" s="15" t="inlineStr">
        <is>
          <t>Xiaomi</t>
        </is>
      </c>
      <c r="C81" s="15" t="inlineStr">
        <is>
          <t>Redmi Note 13</t>
        </is>
      </c>
      <c r="D81" s="16" t="n">
        <v>17999</v>
      </c>
      <c r="E81" s="16" t="n">
        <v>8100</v>
      </c>
      <c r="F81" s="14" t="n">
        <v>4</v>
      </c>
      <c r="G81" s="16" t="n">
        <v>1080</v>
      </c>
      <c r="H81" s="17">
        <f>E81/D81</f>
        <v/>
      </c>
    </row>
    <row r="82">
      <c r="A82" s="14" t="n">
        <v>81</v>
      </c>
      <c r="B82" s="15" t="inlineStr">
        <is>
          <t>Xiaomi</t>
        </is>
      </c>
      <c r="C82" s="15" t="inlineStr">
        <is>
          <t>Redmi Note 13 5G</t>
        </is>
      </c>
      <c r="D82" s="16" t="n">
        <v>19999</v>
      </c>
      <c r="E82" s="16" t="n">
        <v>8999</v>
      </c>
      <c r="F82" s="14" t="n">
        <v>4</v>
      </c>
      <c r="G82" s="16" t="n">
        <v>1200</v>
      </c>
      <c r="H82" s="17">
        <f>E82/D82</f>
        <v/>
      </c>
    </row>
    <row r="83">
      <c r="A83" s="14" t="n">
        <v>82</v>
      </c>
      <c r="B83" s="15" t="inlineStr">
        <is>
          <t>Xiaomi</t>
        </is>
      </c>
      <c r="C83" s="15" t="inlineStr">
        <is>
          <t>Redmi Note 12 Pro+</t>
        </is>
      </c>
      <c r="D83" s="16" t="n">
        <v>27999</v>
      </c>
      <c r="E83" s="16" t="n">
        <v>12600</v>
      </c>
      <c r="F83" s="14" t="n">
        <v>4</v>
      </c>
      <c r="G83" s="16" t="n">
        <v>1680</v>
      </c>
      <c r="H83" s="17">
        <f>E83/D83</f>
        <v/>
      </c>
    </row>
    <row r="84">
      <c r="A84" s="14" t="n">
        <v>83</v>
      </c>
      <c r="B84" s="15" t="inlineStr">
        <is>
          <t>Xiaomi</t>
        </is>
      </c>
      <c r="C84" s="15" t="inlineStr">
        <is>
          <t>Redmi Note 12 Pro</t>
        </is>
      </c>
      <c r="D84" s="16" t="n">
        <v>22999</v>
      </c>
      <c r="E84" s="16" t="n">
        <v>10350</v>
      </c>
      <c r="F84" s="14" t="n">
        <v>4</v>
      </c>
      <c r="G84" s="16" t="n">
        <v>1380</v>
      </c>
      <c r="H84" s="17">
        <f>E84/D84</f>
        <v/>
      </c>
    </row>
    <row r="85">
      <c r="A85" s="14" t="n">
        <v>84</v>
      </c>
      <c r="B85" s="15" t="inlineStr">
        <is>
          <t>Xiaomi</t>
        </is>
      </c>
      <c r="C85" s="15" t="inlineStr">
        <is>
          <t>Redmi Note 12</t>
        </is>
      </c>
      <c r="D85" s="16" t="n">
        <v>15999</v>
      </c>
      <c r="E85" s="16" t="n">
        <v>7200</v>
      </c>
      <c r="F85" s="14" t="n">
        <v>3</v>
      </c>
      <c r="G85" s="16" t="n">
        <v>960</v>
      </c>
      <c r="H85" s="17">
        <f>E85/D85</f>
        <v/>
      </c>
    </row>
    <row r="86">
      <c r="A86" s="14" t="n">
        <v>85</v>
      </c>
      <c r="B86" s="15" t="inlineStr">
        <is>
          <t>Xiaomi</t>
        </is>
      </c>
      <c r="C86" s="15" t="inlineStr">
        <is>
          <t>Redmi 13C</t>
        </is>
      </c>
      <c r="D86" s="16" t="n">
        <v>9999</v>
      </c>
      <c r="E86" s="16" t="n">
        <v>4500</v>
      </c>
      <c r="F86" s="14" t="n">
        <v>3</v>
      </c>
      <c r="G86" s="16" t="n">
        <v>600</v>
      </c>
      <c r="H86" s="17">
        <f>E86/D86</f>
        <v/>
      </c>
    </row>
    <row r="87">
      <c r="A87" s="14" t="n">
        <v>86</v>
      </c>
      <c r="B87" s="15" t="inlineStr">
        <is>
          <t>Xiaomi</t>
        </is>
      </c>
      <c r="C87" s="15" t="inlineStr">
        <is>
          <t>Redmi 13</t>
        </is>
      </c>
      <c r="D87" s="16" t="n">
        <v>11999</v>
      </c>
      <c r="E87" s="16" t="n">
        <v>5400</v>
      </c>
      <c r="F87" s="14" t="n">
        <v>3</v>
      </c>
      <c r="G87" s="16" t="n">
        <v>720</v>
      </c>
      <c r="H87" s="17">
        <f>E87/D87</f>
        <v/>
      </c>
    </row>
    <row r="88">
      <c r="A88" s="14" t="n">
        <v>87</v>
      </c>
      <c r="B88" s="15" t="inlineStr">
        <is>
          <t>Xiaomi</t>
        </is>
      </c>
      <c r="C88" s="15" t="inlineStr">
        <is>
          <t>Redmi A3</t>
        </is>
      </c>
      <c r="D88" s="16" t="n">
        <v>7999</v>
      </c>
      <c r="E88" s="16" t="n">
        <v>3600</v>
      </c>
      <c r="F88" s="14" t="n">
        <v>2</v>
      </c>
      <c r="G88" s="16" t="n">
        <v>480</v>
      </c>
      <c r="H88" s="17">
        <f>E88/D88</f>
        <v/>
      </c>
    </row>
    <row r="89">
      <c r="A89" s="14" t="n">
        <v>88</v>
      </c>
      <c r="B89" s="15" t="inlineStr">
        <is>
          <t>Xiaomi</t>
        </is>
      </c>
      <c r="C89" s="15" t="inlineStr">
        <is>
          <t>POCO X6 Pro</t>
        </is>
      </c>
      <c r="D89" s="16" t="n">
        <v>26999</v>
      </c>
      <c r="E89" s="16" t="n">
        <v>12150</v>
      </c>
      <c r="F89" s="14" t="n">
        <v>4</v>
      </c>
      <c r="G89" s="16" t="n">
        <v>1620</v>
      </c>
      <c r="H89" s="17">
        <f>E89/D89</f>
        <v/>
      </c>
    </row>
    <row r="90">
      <c r="A90" s="14" t="n">
        <v>89</v>
      </c>
      <c r="B90" s="15" t="inlineStr">
        <is>
          <t>Xiaomi</t>
        </is>
      </c>
      <c r="C90" s="15" t="inlineStr">
        <is>
          <t>POCO X6</t>
        </is>
      </c>
      <c r="D90" s="16" t="n">
        <v>22999</v>
      </c>
      <c r="E90" s="16" t="n">
        <v>10350</v>
      </c>
      <c r="F90" s="14" t="n">
        <v>4</v>
      </c>
      <c r="G90" s="16" t="n">
        <v>1380</v>
      </c>
      <c r="H90" s="17">
        <f>E90/D90</f>
        <v/>
      </c>
    </row>
    <row r="91">
      <c r="A91" s="14" t="n">
        <v>90</v>
      </c>
      <c r="B91" s="15" t="inlineStr">
        <is>
          <t>Xiaomi</t>
        </is>
      </c>
      <c r="C91" s="15" t="inlineStr">
        <is>
          <t>POCO F6 Pro</t>
        </is>
      </c>
      <c r="D91" s="16" t="n">
        <v>49999</v>
      </c>
      <c r="E91" s="16" t="n">
        <v>22500</v>
      </c>
      <c r="F91" s="14" t="n">
        <v>5</v>
      </c>
      <c r="G91" s="16" t="n">
        <v>3000</v>
      </c>
      <c r="H91" s="17">
        <f>E91/D91</f>
        <v/>
      </c>
    </row>
    <row r="92">
      <c r="A92" s="14" t="n">
        <v>91</v>
      </c>
      <c r="B92" s="15" t="inlineStr">
        <is>
          <t>Xiaomi</t>
        </is>
      </c>
      <c r="C92" s="15" t="inlineStr">
        <is>
          <t>POCO F6</t>
        </is>
      </c>
      <c r="D92" s="16" t="n">
        <v>29999</v>
      </c>
      <c r="E92" s="16" t="n">
        <v>13500</v>
      </c>
      <c r="F92" s="14" t="n">
        <v>5</v>
      </c>
      <c r="G92" s="16" t="n">
        <v>1800</v>
      </c>
      <c r="H92" s="17">
        <f>E92/D92</f>
        <v/>
      </c>
    </row>
    <row r="93">
      <c r="A93" s="14" t="n">
        <v>92</v>
      </c>
      <c r="B93" s="15" t="inlineStr">
        <is>
          <t>Xiaomi</t>
        </is>
      </c>
      <c r="C93" s="15" t="inlineStr">
        <is>
          <t>POCO M6 Pro</t>
        </is>
      </c>
      <c r="D93" s="16" t="n">
        <v>17999</v>
      </c>
      <c r="E93" s="16" t="n">
        <v>8100</v>
      </c>
      <c r="F93" s="14" t="n">
        <v>3</v>
      </c>
      <c r="G93" s="16" t="n">
        <v>1080</v>
      </c>
      <c r="H93" s="17">
        <f>E93/D93</f>
        <v/>
      </c>
    </row>
    <row r="94">
      <c r="A94" s="14" t="n">
        <v>93</v>
      </c>
      <c r="B94" s="15" t="inlineStr">
        <is>
          <t>Xiaomi</t>
        </is>
      </c>
      <c r="C94" s="15" t="inlineStr">
        <is>
          <t>POCO M6</t>
        </is>
      </c>
      <c r="D94" s="16" t="n">
        <v>13999</v>
      </c>
      <c r="E94" s="16" t="n">
        <v>6300</v>
      </c>
      <c r="F94" s="14" t="n">
        <v>3</v>
      </c>
      <c r="G94" s="16" t="n">
        <v>840</v>
      </c>
      <c r="H94" s="17">
        <f>E94/D94</f>
        <v/>
      </c>
    </row>
    <row r="95">
      <c r="A95" s="14" t="n">
        <v>94</v>
      </c>
      <c r="B95" s="15" t="inlineStr">
        <is>
          <t>Xiaomi</t>
        </is>
      </c>
      <c r="C95" s="15" t="inlineStr">
        <is>
          <t>POCO C65</t>
        </is>
      </c>
      <c r="D95" s="16" t="n">
        <v>9999</v>
      </c>
      <c r="E95" s="16" t="n">
        <v>4500</v>
      </c>
      <c r="F95" s="14" t="n">
        <v>2</v>
      </c>
      <c r="G95" s="16" t="n">
        <v>600</v>
      </c>
      <c r="H95" s="17">
        <f>E95/D95</f>
        <v/>
      </c>
    </row>
    <row r="96">
      <c r="A96" s="14" t="n">
        <v>95</v>
      </c>
      <c r="B96" s="15" t="inlineStr">
        <is>
          <t>Xiaomi</t>
        </is>
      </c>
      <c r="C96" s="15" t="inlineStr">
        <is>
          <t>Mi 11X Pro</t>
        </is>
      </c>
      <c r="D96" s="16" t="n">
        <v>42999</v>
      </c>
      <c r="E96" s="16" t="n">
        <v>19350</v>
      </c>
      <c r="F96" s="14" t="n">
        <v>5</v>
      </c>
      <c r="G96" s="16" t="n">
        <v>2580</v>
      </c>
      <c r="H96" s="17">
        <f>E96/D96</f>
        <v/>
      </c>
    </row>
    <row r="97">
      <c r="A97" s="14" t="n">
        <v>96</v>
      </c>
      <c r="B97" s="15" t="inlineStr">
        <is>
          <t>Xiaomi</t>
        </is>
      </c>
      <c r="C97" s="15" t="inlineStr">
        <is>
          <t>Xiaomi Pad 6</t>
        </is>
      </c>
      <c r="D97" s="16" t="n">
        <v>29999</v>
      </c>
      <c r="E97" s="16" t="n">
        <v>13500</v>
      </c>
      <c r="F97" s="14" t="n">
        <v>5</v>
      </c>
      <c r="G97" s="16" t="n">
        <v>1800</v>
      </c>
      <c r="H97" s="17">
        <f>E97/D97</f>
        <v/>
      </c>
    </row>
    <row r="98">
      <c r="A98" s="14" t="n">
        <v>97</v>
      </c>
      <c r="B98" s="15" t="inlineStr">
        <is>
          <t>Xiaomi</t>
        </is>
      </c>
      <c r="C98" s="15" t="inlineStr">
        <is>
          <t>Redmi Pad SE</t>
        </is>
      </c>
      <c r="D98" s="16" t="n">
        <v>17999</v>
      </c>
      <c r="E98" s="16" t="n">
        <v>8100</v>
      </c>
      <c r="F98" s="14" t="n">
        <v>4</v>
      </c>
      <c r="G98" s="16" t="n">
        <v>1080</v>
      </c>
      <c r="H98" s="17">
        <f>E98/D98</f>
        <v/>
      </c>
    </row>
    <row r="99">
      <c r="A99" s="14" t="n">
        <v>98</v>
      </c>
      <c r="B99" s="15" t="inlineStr">
        <is>
          <t>Xiaomi</t>
        </is>
      </c>
      <c r="C99" s="15" t="inlineStr">
        <is>
          <t>Xiaomi Watch S3</t>
        </is>
      </c>
      <c r="D99" s="16" t="n">
        <v>14999</v>
      </c>
      <c r="E99" s="16" t="n">
        <v>6750</v>
      </c>
      <c r="F99" s="14" t="n">
        <v>3</v>
      </c>
      <c r="G99" s="16" t="n">
        <v>900</v>
      </c>
      <c r="H99" s="17">
        <f>E99/D99</f>
        <v/>
      </c>
    </row>
    <row r="100">
      <c r="A100" s="18" t="n">
        <v>99</v>
      </c>
      <c r="B100" s="19" t="inlineStr">
        <is>
          <t>Vivo</t>
        </is>
      </c>
      <c r="C100" s="19" t="inlineStr">
        <is>
          <t>Vivo X100 Pro</t>
        </is>
      </c>
      <c r="D100" s="20" t="n">
        <v>89999</v>
      </c>
      <c r="E100" s="20" t="n">
        <v>40500</v>
      </c>
      <c r="F100" s="18" t="n">
        <v>5</v>
      </c>
      <c r="G100" s="20" t="n">
        <v>5400</v>
      </c>
      <c r="H100" s="21">
        <f>E100/D100</f>
        <v/>
      </c>
    </row>
    <row r="101">
      <c r="A101" s="18" t="n">
        <v>100</v>
      </c>
      <c r="B101" s="19" t="inlineStr">
        <is>
          <t>Vivo</t>
        </is>
      </c>
      <c r="C101" s="19" t="inlineStr">
        <is>
          <t>Vivo X100</t>
        </is>
      </c>
      <c r="D101" s="20" t="n">
        <v>69999</v>
      </c>
      <c r="E101" s="20" t="n">
        <v>31500</v>
      </c>
      <c r="F101" s="18" t="n">
        <v>5</v>
      </c>
      <c r="G101" s="20" t="n">
        <v>4200</v>
      </c>
      <c r="H101" s="21">
        <f>E101/D101</f>
        <v/>
      </c>
    </row>
    <row r="102">
      <c r="A102" s="18" t="n">
        <v>101</v>
      </c>
      <c r="B102" s="19" t="inlineStr">
        <is>
          <t>Vivo</t>
        </is>
      </c>
      <c r="C102" s="19" t="inlineStr">
        <is>
          <t>Vivo X90 Pro</t>
        </is>
      </c>
      <c r="D102" s="20" t="n">
        <v>74999</v>
      </c>
      <c r="E102" s="20" t="n">
        <v>33750</v>
      </c>
      <c r="F102" s="18" t="n">
        <v>5</v>
      </c>
      <c r="G102" s="20" t="n">
        <v>4500</v>
      </c>
      <c r="H102" s="21">
        <f>E102/D102</f>
        <v/>
      </c>
    </row>
    <row r="103">
      <c r="A103" s="18" t="n">
        <v>102</v>
      </c>
      <c r="B103" s="19" t="inlineStr">
        <is>
          <t>Vivo</t>
        </is>
      </c>
      <c r="C103" s="19" t="inlineStr">
        <is>
          <t>Vivo V40 Pro</t>
        </is>
      </c>
      <c r="D103" s="20" t="n">
        <v>49999</v>
      </c>
      <c r="E103" s="20" t="n">
        <v>22500</v>
      </c>
      <c r="F103" s="18" t="n">
        <v>5</v>
      </c>
      <c r="G103" s="20" t="n">
        <v>3000</v>
      </c>
      <c r="H103" s="21">
        <f>E103/D103</f>
        <v/>
      </c>
    </row>
    <row r="104">
      <c r="A104" s="18" t="n">
        <v>103</v>
      </c>
      <c r="B104" s="19" t="inlineStr">
        <is>
          <t>Vivo</t>
        </is>
      </c>
      <c r="C104" s="19" t="inlineStr">
        <is>
          <t>Vivo V40</t>
        </is>
      </c>
      <c r="D104" s="20" t="n">
        <v>39999</v>
      </c>
      <c r="E104" s="20" t="n">
        <v>17999</v>
      </c>
      <c r="F104" s="18" t="n">
        <v>4</v>
      </c>
      <c r="G104" s="20" t="n">
        <v>2400</v>
      </c>
      <c r="H104" s="21">
        <f>E104/D104</f>
        <v/>
      </c>
    </row>
    <row r="105">
      <c r="A105" s="18" t="n">
        <v>104</v>
      </c>
      <c r="B105" s="19" t="inlineStr">
        <is>
          <t>Vivo</t>
        </is>
      </c>
      <c r="C105" s="19" t="inlineStr">
        <is>
          <t>Vivo V40e</t>
        </is>
      </c>
      <c r="D105" s="20" t="n">
        <v>29999</v>
      </c>
      <c r="E105" s="20" t="n">
        <v>13500</v>
      </c>
      <c r="F105" s="18" t="n">
        <v>4</v>
      </c>
      <c r="G105" s="20" t="n">
        <v>1800</v>
      </c>
      <c r="H105" s="21">
        <f>E105/D105</f>
        <v/>
      </c>
    </row>
    <row r="106">
      <c r="A106" s="18" t="n">
        <v>105</v>
      </c>
      <c r="B106" s="19" t="inlineStr">
        <is>
          <t>Vivo</t>
        </is>
      </c>
      <c r="C106" s="19" t="inlineStr">
        <is>
          <t>Vivo V30 Pro</t>
        </is>
      </c>
      <c r="D106" s="20" t="n">
        <v>42999</v>
      </c>
      <c r="E106" s="20" t="n">
        <v>19350</v>
      </c>
      <c r="F106" s="18" t="n">
        <v>4</v>
      </c>
      <c r="G106" s="20" t="n">
        <v>2580</v>
      </c>
      <c r="H106" s="21">
        <f>E106/D106</f>
        <v/>
      </c>
    </row>
    <row r="107">
      <c r="A107" s="18" t="n">
        <v>106</v>
      </c>
      <c r="B107" s="19" t="inlineStr">
        <is>
          <t>Vivo</t>
        </is>
      </c>
      <c r="C107" s="19" t="inlineStr">
        <is>
          <t>Vivo V30</t>
        </is>
      </c>
      <c r="D107" s="20" t="n">
        <v>33999</v>
      </c>
      <c r="E107" s="20" t="n">
        <v>15300</v>
      </c>
      <c r="F107" s="18" t="n">
        <v>4</v>
      </c>
      <c r="G107" s="20" t="n">
        <v>2040</v>
      </c>
      <c r="H107" s="21">
        <f>E107/D107</f>
        <v/>
      </c>
    </row>
    <row r="108">
      <c r="A108" s="18" t="n">
        <v>107</v>
      </c>
      <c r="B108" s="19" t="inlineStr">
        <is>
          <t>Vivo</t>
        </is>
      </c>
      <c r="C108" s="19" t="inlineStr">
        <is>
          <t>Vivo V30e</t>
        </is>
      </c>
      <c r="D108" s="20" t="n">
        <v>24999</v>
      </c>
      <c r="E108" s="20" t="n">
        <v>11250</v>
      </c>
      <c r="F108" s="18" t="n">
        <v>4</v>
      </c>
      <c r="G108" s="20" t="n">
        <v>1500</v>
      </c>
      <c r="H108" s="21">
        <f>E108/D108</f>
        <v/>
      </c>
    </row>
    <row r="109">
      <c r="A109" s="18" t="n">
        <v>108</v>
      </c>
      <c r="B109" s="19" t="inlineStr">
        <is>
          <t>Vivo</t>
        </is>
      </c>
      <c r="C109" s="19" t="inlineStr">
        <is>
          <t>Vivo V29 Pro</t>
        </is>
      </c>
      <c r="D109" s="20" t="n">
        <v>37999</v>
      </c>
      <c r="E109" s="20" t="n">
        <v>17100</v>
      </c>
      <c r="F109" s="18" t="n">
        <v>4</v>
      </c>
      <c r="G109" s="20" t="n">
        <v>2280</v>
      </c>
      <c r="H109" s="21">
        <f>E109/D109</f>
        <v/>
      </c>
    </row>
    <row r="110">
      <c r="A110" s="18" t="n">
        <v>109</v>
      </c>
      <c r="B110" s="19" t="inlineStr">
        <is>
          <t>Vivo</t>
        </is>
      </c>
      <c r="C110" s="19" t="inlineStr">
        <is>
          <t>Vivo V29</t>
        </is>
      </c>
      <c r="D110" s="20" t="n">
        <v>29999</v>
      </c>
      <c r="E110" s="20" t="n">
        <v>13500</v>
      </c>
      <c r="F110" s="18" t="n">
        <v>4</v>
      </c>
      <c r="G110" s="20" t="n">
        <v>1800</v>
      </c>
      <c r="H110" s="21">
        <f>E110/D110</f>
        <v/>
      </c>
    </row>
    <row r="111">
      <c r="A111" s="18" t="n">
        <v>110</v>
      </c>
      <c r="B111" s="19" t="inlineStr">
        <is>
          <t>Vivo</t>
        </is>
      </c>
      <c r="C111" s="19" t="inlineStr">
        <is>
          <t>Vivo Y200 Pro</t>
        </is>
      </c>
      <c r="D111" s="20" t="n">
        <v>24999</v>
      </c>
      <c r="E111" s="20" t="n">
        <v>11250</v>
      </c>
      <c r="F111" s="18" t="n">
        <v>3</v>
      </c>
      <c r="G111" s="20" t="n">
        <v>1500</v>
      </c>
      <c r="H111" s="21">
        <f>E111/D111</f>
        <v/>
      </c>
    </row>
    <row r="112">
      <c r="A112" s="18" t="n">
        <v>111</v>
      </c>
      <c r="B112" s="19" t="inlineStr">
        <is>
          <t>Vivo</t>
        </is>
      </c>
      <c r="C112" s="19" t="inlineStr">
        <is>
          <t>Vivo Y200</t>
        </is>
      </c>
      <c r="D112" s="20" t="n">
        <v>19999</v>
      </c>
      <c r="E112" s="20" t="n">
        <v>8999</v>
      </c>
      <c r="F112" s="18" t="n">
        <v>3</v>
      </c>
      <c r="G112" s="20" t="n">
        <v>1200</v>
      </c>
      <c r="H112" s="21">
        <f>E112/D112</f>
        <v/>
      </c>
    </row>
    <row r="113">
      <c r="A113" s="18" t="n">
        <v>112</v>
      </c>
      <c r="B113" s="19" t="inlineStr">
        <is>
          <t>Vivo</t>
        </is>
      </c>
      <c r="C113" s="19" t="inlineStr">
        <is>
          <t>Vivo Y100</t>
        </is>
      </c>
      <c r="D113" s="20" t="n">
        <v>17999</v>
      </c>
      <c r="E113" s="20" t="n">
        <v>8100</v>
      </c>
      <c r="F113" s="18" t="n">
        <v>3</v>
      </c>
      <c r="G113" s="20" t="n">
        <v>1080</v>
      </c>
      <c r="H113" s="21">
        <f>E113/D113</f>
        <v/>
      </c>
    </row>
    <row r="114">
      <c r="A114" s="18" t="n">
        <v>113</v>
      </c>
      <c r="B114" s="19" t="inlineStr">
        <is>
          <t>Vivo</t>
        </is>
      </c>
      <c r="C114" s="19" t="inlineStr">
        <is>
          <t>Vivo Y58</t>
        </is>
      </c>
      <c r="D114" s="20" t="n">
        <v>15999</v>
      </c>
      <c r="E114" s="20" t="n">
        <v>7200</v>
      </c>
      <c r="F114" s="18" t="n">
        <v>3</v>
      </c>
      <c r="G114" s="20" t="n">
        <v>960</v>
      </c>
      <c r="H114" s="21">
        <f>E114/D114</f>
        <v/>
      </c>
    </row>
    <row r="115">
      <c r="A115" s="18" t="n">
        <v>114</v>
      </c>
      <c r="B115" s="19" t="inlineStr">
        <is>
          <t>Vivo</t>
        </is>
      </c>
      <c r="C115" s="19" t="inlineStr">
        <is>
          <t>Vivo Y28</t>
        </is>
      </c>
      <c r="D115" s="20" t="n">
        <v>11999</v>
      </c>
      <c r="E115" s="20" t="n">
        <v>5400</v>
      </c>
      <c r="F115" s="18" t="n">
        <v>3</v>
      </c>
      <c r="G115" s="20" t="n">
        <v>720</v>
      </c>
      <c r="H115" s="21">
        <f>E115/D115</f>
        <v/>
      </c>
    </row>
    <row r="116">
      <c r="A116" s="18" t="n">
        <v>115</v>
      </c>
      <c r="B116" s="19" t="inlineStr">
        <is>
          <t>Vivo</t>
        </is>
      </c>
      <c r="C116" s="19" t="inlineStr">
        <is>
          <t>Vivo T3 Pro</t>
        </is>
      </c>
      <c r="D116" s="20" t="n">
        <v>24999</v>
      </c>
      <c r="E116" s="20" t="n">
        <v>11250</v>
      </c>
      <c r="F116" s="18" t="n">
        <v>4</v>
      </c>
      <c r="G116" s="20" t="n">
        <v>1500</v>
      </c>
      <c r="H116" s="21">
        <f>E116/D116</f>
        <v/>
      </c>
    </row>
    <row r="117">
      <c r="A117" s="18" t="n">
        <v>116</v>
      </c>
      <c r="B117" s="19" t="inlineStr">
        <is>
          <t>Vivo</t>
        </is>
      </c>
      <c r="C117" s="19" t="inlineStr">
        <is>
          <t>Vivo T3x</t>
        </is>
      </c>
      <c r="D117" s="20" t="n">
        <v>13999</v>
      </c>
      <c r="E117" s="20" t="n">
        <v>6300</v>
      </c>
      <c r="F117" s="18" t="n">
        <v>3</v>
      </c>
      <c r="G117" s="20" t="n">
        <v>840</v>
      </c>
      <c r="H117" s="21">
        <f>E117/D117</f>
        <v/>
      </c>
    </row>
    <row r="118">
      <c r="A118" s="18" t="n">
        <v>117</v>
      </c>
      <c r="B118" s="19" t="inlineStr">
        <is>
          <t>Vivo</t>
        </is>
      </c>
      <c r="C118" s="19" t="inlineStr">
        <is>
          <t>Vivo iQOO 12</t>
        </is>
      </c>
      <c r="D118" s="20" t="n">
        <v>59999</v>
      </c>
      <c r="E118" s="20" t="n">
        <v>26999</v>
      </c>
      <c r="F118" s="18" t="n">
        <v>5</v>
      </c>
      <c r="G118" s="20" t="n">
        <v>3600</v>
      </c>
      <c r="H118" s="21">
        <f>E118/D118</f>
        <v/>
      </c>
    </row>
    <row r="119">
      <c r="A119" s="18" t="n">
        <v>118</v>
      </c>
      <c r="B119" s="19" t="inlineStr">
        <is>
          <t>Vivo</t>
        </is>
      </c>
      <c r="C119" s="19" t="inlineStr">
        <is>
          <t>Vivo iQOO Neo 9 Pro</t>
        </is>
      </c>
      <c r="D119" s="20" t="n">
        <v>39999</v>
      </c>
      <c r="E119" s="20" t="n">
        <v>17999</v>
      </c>
      <c r="F119" s="18" t="n">
        <v>4</v>
      </c>
      <c r="G119" s="20" t="n">
        <v>2400</v>
      </c>
      <c r="H119" s="21">
        <f>E119/D119</f>
        <v/>
      </c>
    </row>
    <row r="120">
      <c r="A120" s="22" t="n">
        <v>119</v>
      </c>
      <c r="B120" s="23" t="inlineStr">
        <is>
          <t>Oppo</t>
        </is>
      </c>
      <c r="C120" s="23" t="inlineStr">
        <is>
          <t>Oppo Find X7 Pro</t>
        </is>
      </c>
      <c r="D120" s="24" t="n">
        <v>99999</v>
      </c>
      <c r="E120" s="24" t="n">
        <v>44999</v>
      </c>
      <c r="F120" s="22" t="n">
        <v>5</v>
      </c>
      <c r="G120" s="24" t="n">
        <v>6000</v>
      </c>
      <c r="H120" s="25">
        <f>E120/D120</f>
        <v/>
      </c>
    </row>
    <row r="121">
      <c r="A121" s="22" t="n">
        <v>120</v>
      </c>
      <c r="B121" s="23" t="inlineStr">
        <is>
          <t>Oppo</t>
        </is>
      </c>
      <c r="C121" s="23" t="inlineStr">
        <is>
          <t>Oppo Find X7</t>
        </is>
      </c>
      <c r="D121" s="24" t="n">
        <v>79999</v>
      </c>
      <c r="E121" s="24" t="n">
        <v>35999</v>
      </c>
      <c r="F121" s="22" t="n">
        <v>5</v>
      </c>
      <c r="G121" s="24" t="n">
        <v>4800</v>
      </c>
      <c r="H121" s="25">
        <f>E121/D121</f>
        <v/>
      </c>
    </row>
    <row r="122">
      <c r="A122" s="22" t="n">
        <v>121</v>
      </c>
      <c r="B122" s="23" t="inlineStr">
        <is>
          <t>Oppo</t>
        </is>
      </c>
      <c r="C122" s="23" t="inlineStr">
        <is>
          <t>Oppo Reno 12 Pro</t>
        </is>
      </c>
      <c r="D122" s="24" t="n">
        <v>44999</v>
      </c>
      <c r="E122" s="24" t="n">
        <v>20250</v>
      </c>
      <c r="F122" s="22" t="n">
        <v>4</v>
      </c>
      <c r="G122" s="24" t="n">
        <v>2700</v>
      </c>
      <c r="H122" s="25">
        <f>E122/D122</f>
        <v/>
      </c>
    </row>
    <row r="123">
      <c r="A123" s="22" t="n">
        <v>122</v>
      </c>
      <c r="B123" s="23" t="inlineStr">
        <is>
          <t>Oppo</t>
        </is>
      </c>
      <c r="C123" s="23" t="inlineStr">
        <is>
          <t>Oppo Reno 12</t>
        </is>
      </c>
      <c r="D123" s="24" t="n">
        <v>34999</v>
      </c>
      <c r="E123" s="24" t="n">
        <v>15750</v>
      </c>
      <c r="F123" s="22" t="n">
        <v>4</v>
      </c>
      <c r="G123" s="24" t="n">
        <v>2100</v>
      </c>
      <c r="H123" s="25">
        <f>E123/D123</f>
        <v/>
      </c>
    </row>
    <row r="124">
      <c r="A124" s="22" t="n">
        <v>123</v>
      </c>
      <c r="B124" s="23" t="inlineStr">
        <is>
          <t>Oppo</t>
        </is>
      </c>
      <c r="C124" s="23" t="inlineStr">
        <is>
          <t>Oppo Reno 11 Pro</t>
        </is>
      </c>
      <c r="D124" s="24" t="n">
        <v>39999</v>
      </c>
      <c r="E124" s="24" t="n">
        <v>17999</v>
      </c>
      <c r="F124" s="22" t="n">
        <v>4</v>
      </c>
      <c r="G124" s="24" t="n">
        <v>2400</v>
      </c>
      <c r="H124" s="25">
        <f>E124/D124</f>
        <v/>
      </c>
    </row>
    <row r="125">
      <c r="A125" s="22" t="n">
        <v>124</v>
      </c>
      <c r="B125" s="23" t="inlineStr">
        <is>
          <t>Oppo</t>
        </is>
      </c>
      <c r="C125" s="23" t="inlineStr">
        <is>
          <t>Oppo Reno 11</t>
        </is>
      </c>
      <c r="D125" s="24" t="n">
        <v>29999</v>
      </c>
      <c r="E125" s="24" t="n">
        <v>13500</v>
      </c>
      <c r="F125" s="22" t="n">
        <v>4</v>
      </c>
      <c r="G125" s="24" t="n">
        <v>1800</v>
      </c>
      <c r="H125" s="25">
        <f>E125/D125</f>
        <v/>
      </c>
    </row>
    <row r="126">
      <c r="A126" s="22" t="n">
        <v>125</v>
      </c>
      <c r="B126" s="23" t="inlineStr">
        <is>
          <t>Oppo</t>
        </is>
      </c>
      <c r="C126" s="23" t="inlineStr">
        <is>
          <t>Oppo Reno 10 Pro+</t>
        </is>
      </c>
      <c r="D126" s="24" t="n">
        <v>49999</v>
      </c>
      <c r="E126" s="24" t="n">
        <v>22500</v>
      </c>
      <c r="F126" s="22" t="n">
        <v>4</v>
      </c>
      <c r="G126" s="24" t="n">
        <v>3000</v>
      </c>
      <c r="H126" s="25">
        <f>E126/D126</f>
        <v/>
      </c>
    </row>
    <row r="127">
      <c r="A127" s="22" t="n">
        <v>126</v>
      </c>
      <c r="B127" s="23" t="inlineStr">
        <is>
          <t>Oppo</t>
        </is>
      </c>
      <c r="C127" s="23" t="inlineStr">
        <is>
          <t>Oppo Reno 10 Pro</t>
        </is>
      </c>
      <c r="D127" s="24" t="n">
        <v>39999</v>
      </c>
      <c r="E127" s="24" t="n">
        <v>17999</v>
      </c>
      <c r="F127" s="22" t="n">
        <v>4</v>
      </c>
      <c r="G127" s="24" t="n">
        <v>2400</v>
      </c>
      <c r="H127" s="25">
        <f>E127/D127</f>
        <v/>
      </c>
    </row>
    <row r="128">
      <c r="A128" s="22" t="n">
        <v>127</v>
      </c>
      <c r="B128" s="23" t="inlineStr">
        <is>
          <t>Oppo</t>
        </is>
      </c>
      <c r="C128" s="23" t="inlineStr">
        <is>
          <t>Oppo Reno 10</t>
        </is>
      </c>
      <c r="D128" s="24" t="n">
        <v>27999</v>
      </c>
      <c r="E128" s="24" t="n">
        <v>12600</v>
      </c>
      <c r="F128" s="22" t="n">
        <v>4</v>
      </c>
      <c r="G128" s="24" t="n">
        <v>1680</v>
      </c>
      <c r="H128" s="25">
        <f>E128/D128</f>
        <v/>
      </c>
    </row>
    <row r="129">
      <c r="A129" s="22" t="n">
        <v>128</v>
      </c>
      <c r="B129" s="23" t="inlineStr">
        <is>
          <t>Oppo</t>
        </is>
      </c>
      <c r="C129" s="23" t="inlineStr">
        <is>
          <t>Oppo F27 Pro+</t>
        </is>
      </c>
      <c r="D129" s="24" t="n">
        <v>29999</v>
      </c>
      <c r="E129" s="24" t="n">
        <v>13500</v>
      </c>
      <c r="F129" s="22" t="n">
        <v>4</v>
      </c>
      <c r="G129" s="24" t="n">
        <v>1800</v>
      </c>
      <c r="H129" s="25">
        <f>E129/D129</f>
        <v/>
      </c>
    </row>
    <row r="130">
      <c r="A130" s="22" t="n">
        <v>129</v>
      </c>
      <c r="B130" s="23" t="inlineStr">
        <is>
          <t>Oppo</t>
        </is>
      </c>
      <c r="C130" s="23" t="inlineStr">
        <is>
          <t>Oppo F27 Pro</t>
        </is>
      </c>
      <c r="D130" s="24" t="n">
        <v>24999</v>
      </c>
      <c r="E130" s="24" t="n">
        <v>11250</v>
      </c>
      <c r="F130" s="22" t="n">
        <v>4</v>
      </c>
      <c r="G130" s="24" t="n">
        <v>1500</v>
      </c>
      <c r="H130" s="25">
        <f>E130/D130</f>
        <v/>
      </c>
    </row>
    <row r="131">
      <c r="A131" s="22" t="n">
        <v>130</v>
      </c>
      <c r="B131" s="23" t="inlineStr">
        <is>
          <t>Oppo</t>
        </is>
      </c>
      <c r="C131" s="23" t="inlineStr">
        <is>
          <t>Oppo F27</t>
        </is>
      </c>
      <c r="D131" s="24" t="n">
        <v>19999</v>
      </c>
      <c r="E131" s="24" t="n">
        <v>8999</v>
      </c>
      <c r="F131" s="22" t="n">
        <v>3</v>
      </c>
      <c r="G131" s="24" t="n">
        <v>1200</v>
      </c>
      <c r="H131" s="25">
        <f>E131/D131</f>
        <v/>
      </c>
    </row>
    <row r="132">
      <c r="A132" s="22" t="n">
        <v>131</v>
      </c>
      <c r="B132" s="23" t="inlineStr">
        <is>
          <t>Oppo</t>
        </is>
      </c>
      <c r="C132" s="23" t="inlineStr">
        <is>
          <t>Oppo F25 Pro</t>
        </is>
      </c>
      <c r="D132" s="24" t="n">
        <v>24999</v>
      </c>
      <c r="E132" s="24" t="n">
        <v>11250</v>
      </c>
      <c r="F132" s="22" t="n">
        <v>4</v>
      </c>
      <c r="G132" s="24" t="n">
        <v>1500</v>
      </c>
      <c r="H132" s="25">
        <f>E132/D132</f>
        <v/>
      </c>
    </row>
    <row r="133">
      <c r="A133" s="22" t="n">
        <v>132</v>
      </c>
      <c r="B133" s="23" t="inlineStr">
        <is>
          <t>Oppo</t>
        </is>
      </c>
      <c r="C133" s="23" t="inlineStr">
        <is>
          <t>Oppo A3 Pro</t>
        </is>
      </c>
      <c r="D133" s="24" t="n">
        <v>19999</v>
      </c>
      <c r="E133" s="24" t="n">
        <v>8999</v>
      </c>
      <c r="F133" s="22" t="n">
        <v>3</v>
      </c>
      <c r="G133" s="24" t="n">
        <v>1200</v>
      </c>
      <c r="H133" s="25">
        <f>E133/D133</f>
        <v/>
      </c>
    </row>
    <row r="134">
      <c r="A134" s="22" t="n">
        <v>133</v>
      </c>
      <c r="B134" s="23" t="inlineStr">
        <is>
          <t>Oppo</t>
        </is>
      </c>
      <c r="C134" s="23" t="inlineStr">
        <is>
          <t>Oppo A3</t>
        </is>
      </c>
      <c r="D134" s="24" t="n">
        <v>14999</v>
      </c>
      <c r="E134" s="24" t="n">
        <v>6750</v>
      </c>
      <c r="F134" s="22" t="n">
        <v>3</v>
      </c>
      <c r="G134" s="24" t="n">
        <v>900</v>
      </c>
      <c r="H134" s="25">
        <f>E134/D134</f>
        <v/>
      </c>
    </row>
    <row r="135">
      <c r="A135" s="22" t="n">
        <v>134</v>
      </c>
      <c r="B135" s="23" t="inlineStr">
        <is>
          <t>Oppo</t>
        </is>
      </c>
      <c r="C135" s="23" t="inlineStr">
        <is>
          <t>Oppo A60</t>
        </is>
      </c>
      <c r="D135" s="24" t="n">
        <v>15999</v>
      </c>
      <c r="E135" s="24" t="n">
        <v>7200</v>
      </c>
      <c r="F135" s="22" t="n">
        <v>3</v>
      </c>
      <c r="G135" s="24" t="n">
        <v>960</v>
      </c>
      <c r="H135" s="25">
        <f>E135/D135</f>
        <v/>
      </c>
    </row>
    <row r="136">
      <c r="A136" s="22" t="n">
        <v>135</v>
      </c>
      <c r="B136" s="23" t="inlineStr">
        <is>
          <t>Oppo</t>
        </is>
      </c>
      <c r="C136" s="23" t="inlineStr">
        <is>
          <t>Oppo A38</t>
        </is>
      </c>
      <c r="D136" s="24" t="n">
        <v>12999</v>
      </c>
      <c r="E136" s="24" t="n">
        <v>5850</v>
      </c>
      <c r="F136" s="22" t="n">
        <v>3</v>
      </c>
      <c r="G136" s="24" t="n">
        <v>780</v>
      </c>
      <c r="H136" s="25">
        <f>E136/D136</f>
        <v/>
      </c>
    </row>
    <row r="137">
      <c r="A137" s="22" t="n">
        <v>136</v>
      </c>
      <c r="B137" s="23" t="inlineStr">
        <is>
          <t>Oppo</t>
        </is>
      </c>
      <c r="C137" s="23" t="inlineStr">
        <is>
          <t>Oppo K12x</t>
        </is>
      </c>
      <c r="D137" s="24" t="n">
        <v>17999</v>
      </c>
      <c r="E137" s="24" t="n">
        <v>8100</v>
      </c>
      <c r="F137" s="22" t="n">
        <v>3</v>
      </c>
      <c r="G137" s="24" t="n">
        <v>1080</v>
      </c>
      <c r="H137" s="25">
        <f>E137/D137</f>
        <v/>
      </c>
    </row>
    <row r="138">
      <c r="A138" s="22" t="n">
        <v>137</v>
      </c>
      <c r="B138" s="23" t="inlineStr">
        <is>
          <t>Oppo</t>
        </is>
      </c>
      <c r="C138" s="23" t="inlineStr">
        <is>
          <t>Oppo Pad Air 2</t>
        </is>
      </c>
      <c r="D138" s="24" t="n">
        <v>22999</v>
      </c>
      <c r="E138" s="24" t="n">
        <v>10350</v>
      </c>
      <c r="F138" s="22" t="n">
        <v>4</v>
      </c>
      <c r="G138" s="24" t="n">
        <v>1380</v>
      </c>
      <c r="H138" s="25">
        <f>E138/D138</f>
        <v/>
      </c>
    </row>
    <row r="139">
      <c r="A139" s="22" t="n">
        <v>138</v>
      </c>
      <c r="B139" s="23" t="inlineStr">
        <is>
          <t>Oppo</t>
        </is>
      </c>
      <c r="C139" s="23" t="inlineStr">
        <is>
          <t>Oppo Watch X</t>
        </is>
      </c>
      <c r="D139" s="24" t="n">
        <v>19999</v>
      </c>
      <c r="E139" s="24" t="n">
        <v>8999</v>
      </c>
      <c r="F139" s="22" t="n">
        <v>3</v>
      </c>
      <c r="G139" s="24" t="n">
        <v>1200</v>
      </c>
      <c r="H139" s="25">
        <f>E139/D139</f>
        <v/>
      </c>
    </row>
    <row r="140">
      <c r="A140" s="26" t="n">
        <v>139</v>
      </c>
      <c r="B140" s="27" t="inlineStr">
        <is>
          <t>Realme</t>
        </is>
      </c>
      <c r="C140" s="27" t="inlineStr">
        <is>
          <t>Realme GT 6</t>
        </is>
      </c>
      <c r="D140" s="28" t="n">
        <v>39999</v>
      </c>
      <c r="E140" s="28" t="n">
        <v>17999</v>
      </c>
      <c r="F140" s="26" t="n">
        <v>4</v>
      </c>
      <c r="G140" s="28" t="n">
        <v>2400</v>
      </c>
      <c r="H140" s="29">
        <f>E140/D140</f>
        <v/>
      </c>
    </row>
    <row r="141">
      <c r="A141" s="26" t="n">
        <v>140</v>
      </c>
      <c r="B141" s="27" t="inlineStr">
        <is>
          <t>Realme</t>
        </is>
      </c>
      <c r="C141" s="27" t="inlineStr">
        <is>
          <t>Realme GT 6T</t>
        </is>
      </c>
      <c r="D141" s="28" t="n">
        <v>31999</v>
      </c>
      <c r="E141" s="28" t="n">
        <v>14400</v>
      </c>
      <c r="F141" s="26" t="n">
        <v>4</v>
      </c>
      <c r="G141" s="28" t="n">
        <v>1920</v>
      </c>
      <c r="H141" s="29">
        <f>E141/D141</f>
        <v/>
      </c>
    </row>
    <row r="142">
      <c r="A142" s="26" t="n">
        <v>141</v>
      </c>
      <c r="B142" s="27" t="inlineStr">
        <is>
          <t>Realme</t>
        </is>
      </c>
      <c r="C142" s="27" t="inlineStr">
        <is>
          <t>Realme GT 5 Pro</t>
        </is>
      </c>
      <c r="D142" s="28" t="n">
        <v>39999</v>
      </c>
      <c r="E142" s="28" t="n">
        <v>17999</v>
      </c>
      <c r="F142" s="26" t="n">
        <v>4</v>
      </c>
      <c r="G142" s="28" t="n">
        <v>2400</v>
      </c>
      <c r="H142" s="29">
        <f>E142/D142</f>
        <v/>
      </c>
    </row>
    <row r="143">
      <c r="A143" s="26" t="n">
        <v>142</v>
      </c>
      <c r="B143" s="27" t="inlineStr">
        <is>
          <t>Realme</t>
        </is>
      </c>
      <c r="C143" s="27" t="inlineStr">
        <is>
          <t>Realme GT 5</t>
        </is>
      </c>
      <c r="D143" s="28" t="n">
        <v>29999</v>
      </c>
      <c r="E143" s="28" t="n">
        <v>13500</v>
      </c>
      <c r="F143" s="26" t="n">
        <v>4</v>
      </c>
      <c r="G143" s="28" t="n">
        <v>1800</v>
      </c>
      <c r="H143" s="29">
        <f>E143/D143</f>
        <v/>
      </c>
    </row>
    <row r="144">
      <c r="A144" s="26" t="n">
        <v>143</v>
      </c>
      <c r="B144" s="27" t="inlineStr">
        <is>
          <t>Realme</t>
        </is>
      </c>
      <c r="C144" s="27" t="inlineStr">
        <is>
          <t>Realme Narzo 70 Pro</t>
        </is>
      </c>
      <c r="D144" s="28" t="n">
        <v>22999</v>
      </c>
      <c r="E144" s="28" t="n">
        <v>10350</v>
      </c>
      <c r="F144" s="26" t="n">
        <v>4</v>
      </c>
      <c r="G144" s="28" t="n">
        <v>1380</v>
      </c>
      <c r="H144" s="29">
        <f>E144/D144</f>
        <v/>
      </c>
    </row>
    <row r="145">
      <c r="A145" s="26" t="n">
        <v>144</v>
      </c>
      <c r="B145" s="27" t="inlineStr">
        <is>
          <t>Realme</t>
        </is>
      </c>
      <c r="C145" s="27" t="inlineStr">
        <is>
          <t>Realme Narzo 70</t>
        </is>
      </c>
      <c r="D145" s="28" t="n">
        <v>16999</v>
      </c>
      <c r="E145" s="28" t="n">
        <v>7650</v>
      </c>
      <c r="F145" s="26" t="n">
        <v>3</v>
      </c>
      <c r="G145" s="28" t="n">
        <v>1020</v>
      </c>
      <c r="H145" s="29">
        <f>E145/D145</f>
        <v/>
      </c>
    </row>
    <row r="146">
      <c r="A146" s="26" t="n">
        <v>145</v>
      </c>
      <c r="B146" s="27" t="inlineStr">
        <is>
          <t>Realme</t>
        </is>
      </c>
      <c r="C146" s="27" t="inlineStr">
        <is>
          <t>Realme Narzo 70x</t>
        </is>
      </c>
      <c r="D146" s="28" t="n">
        <v>12999</v>
      </c>
      <c r="E146" s="28" t="n">
        <v>5850</v>
      </c>
      <c r="F146" s="26" t="n">
        <v>3</v>
      </c>
      <c r="G146" s="28" t="n">
        <v>780</v>
      </c>
      <c r="H146" s="29">
        <f>E146/D146</f>
        <v/>
      </c>
    </row>
    <row r="147">
      <c r="A147" s="26" t="n">
        <v>146</v>
      </c>
      <c r="B147" s="27" t="inlineStr">
        <is>
          <t>Realme</t>
        </is>
      </c>
      <c r="C147" s="27" t="inlineStr">
        <is>
          <t>Realme 13 Pro+</t>
        </is>
      </c>
      <c r="D147" s="28" t="n">
        <v>27999</v>
      </c>
      <c r="E147" s="28" t="n">
        <v>12600</v>
      </c>
      <c r="F147" s="26" t="n">
        <v>4</v>
      </c>
      <c r="G147" s="28" t="n">
        <v>1680</v>
      </c>
      <c r="H147" s="29">
        <f>E147/D147</f>
        <v/>
      </c>
    </row>
    <row r="148">
      <c r="A148" s="26" t="n">
        <v>147</v>
      </c>
      <c r="B148" s="27" t="inlineStr">
        <is>
          <t>Realme</t>
        </is>
      </c>
      <c r="C148" s="27" t="inlineStr">
        <is>
          <t>Realme 13 Pro</t>
        </is>
      </c>
      <c r="D148" s="28" t="n">
        <v>22999</v>
      </c>
      <c r="E148" s="28" t="n">
        <v>10350</v>
      </c>
      <c r="F148" s="26" t="n">
        <v>4</v>
      </c>
      <c r="G148" s="28" t="n">
        <v>1380</v>
      </c>
      <c r="H148" s="29">
        <f>E148/D148</f>
        <v/>
      </c>
    </row>
    <row r="149">
      <c r="A149" s="26" t="n">
        <v>148</v>
      </c>
      <c r="B149" s="27" t="inlineStr">
        <is>
          <t>Realme</t>
        </is>
      </c>
      <c r="C149" s="27" t="inlineStr">
        <is>
          <t>Realme 13</t>
        </is>
      </c>
      <c r="D149" s="28" t="n">
        <v>17999</v>
      </c>
      <c r="E149" s="28" t="n">
        <v>8100</v>
      </c>
      <c r="F149" s="26" t="n">
        <v>3</v>
      </c>
      <c r="G149" s="28" t="n">
        <v>1080</v>
      </c>
      <c r="H149" s="29">
        <f>E149/D149</f>
        <v/>
      </c>
    </row>
    <row r="150">
      <c r="A150" s="26" t="n">
        <v>149</v>
      </c>
      <c r="B150" s="27" t="inlineStr">
        <is>
          <t>Realme</t>
        </is>
      </c>
      <c r="C150" s="27" t="inlineStr">
        <is>
          <t>Realme 13x</t>
        </is>
      </c>
      <c r="D150" s="28" t="n">
        <v>13999</v>
      </c>
      <c r="E150" s="28" t="n">
        <v>6300</v>
      </c>
      <c r="F150" s="26" t="n">
        <v>3</v>
      </c>
      <c r="G150" s="28" t="n">
        <v>840</v>
      </c>
      <c r="H150" s="29">
        <f>E150/D150</f>
        <v/>
      </c>
    </row>
    <row r="151">
      <c r="A151" s="26" t="n">
        <v>150</v>
      </c>
      <c r="B151" s="27" t="inlineStr">
        <is>
          <t>Realme</t>
        </is>
      </c>
      <c r="C151" s="27" t="inlineStr">
        <is>
          <t>Realme 12 Pro+</t>
        </is>
      </c>
      <c r="D151" s="28" t="n">
        <v>27999</v>
      </c>
      <c r="E151" s="28" t="n">
        <v>12600</v>
      </c>
      <c r="F151" s="26" t="n">
        <v>4</v>
      </c>
      <c r="G151" s="28" t="n">
        <v>1680</v>
      </c>
      <c r="H151" s="29">
        <f>E151/D151</f>
        <v/>
      </c>
    </row>
    <row r="152">
      <c r="A152" s="26" t="n">
        <v>151</v>
      </c>
      <c r="B152" s="27" t="inlineStr">
        <is>
          <t>Realme</t>
        </is>
      </c>
      <c r="C152" s="27" t="inlineStr">
        <is>
          <t>Realme 12 Pro</t>
        </is>
      </c>
      <c r="D152" s="28" t="n">
        <v>21999</v>
      </c>
      <c r="E152" s="28" t="n">
        <v>9900</v>
      </c>
      <c r="F152" s="26" t="n">
        <v>4</v>
      </c>
      <c r="G152" s="28" t="n">
        <v>1320</v>
      </c>
      <c r="H152" s="29">
        <f>E152/D152</f>
        <v/>
      </c>
    </row>
    <row r="153">
      <c r="A153" s="26" t="n">
        <v>152</v>
      </c>
      <c r="B153" s="27" t="inlineStr">
        <is>
          <t>Realme</t>
        </is>
      </c>
      <c r="C153" s="27" t="inlineStr">
        <is>
          <t>Realme 12</t>
        </is>
      </c>
      <c r="D153" s="28" t="n">
        <v>15999</v>
      </c>
      <c r="E153" s="28" t="n">
        <v>7200</v>
      </c>
      <c r="F153" s="26" t="n">
        <v>3</v>
      </c>
      <c r="G153" s="28" t="n">
        <v>960</v>
      </c>
      <c r="H153" s="29">
        <f>E153/D153</f>
        <v/>
      </c>
    </row>
    <row r="154">
      <c r="A154" s="26" t="n">
        <v>153</v>
      </c>
      <c r="B154" s="27" t="inlineStr">
        <is>
          <t>Realme</t>
        </is>
      </c>
      <c r="C154" s="27" t="inlineStr">
        <is>
          <t>Realme C67 5G</t>
        </is>
      </c>
      <c r="D154" s="28" t="n">
        <v>14999</v>
      </c>
      <c r="E154" s="28" t="n">
        <v>6750</v>
      </c>
      <c r="F154" s="26" t="n">
        <v>3</v>
      </c>
      <c r="G154" s="28" t="n">
        <v>900</v>
      </c>
      <c r="H154" s="29">
        <f>E154/D154</f>
        <v/>
      </c>
    </row>
    <row r="155">
      <c r="A155" s="26" t="n">
        <v>154</v>
      </c>
      <c r="B155" s="27" t="inlineStr">
        <is>
          <t>Realme</t>
        </is>
      </c>
      <c r="C155" s="27" t="inlineStr">
        <is>
          <t>Realme C63</t>
        </is>
      </c>
      <c r="D155" s="28" t="n">
        <v>11999</v>
      </c>
      <c r="E155" s="28" t="n">
        <v>5400</v>
      </c>
      <c r="F155" s="26" t="n">
        <v>3</v>
      </c>
      <c r="G155" s="28" t="n">
        <v>720</v>
      </c>
      <c r="H155" s="29">
        <f>E155/D155</f>
        <v/>
      </c>
    </row>
    <row r="156">
      <c r="A156" s="26" t="n">
        <v>155</v>
      </c>
      <c r="B156" s="27" t="inlineStr">
        <is>
          <t>Realme</t>
        </is>
      </c>
      <c r="C156" s="27" t="inlineStr">
        <is>
          <t>Realme C53</t>
        </is>
      </c>
      <c r="D156" s="28" t="n">
        <v>9999</v>
      </c>
      <c r="E156" s="28" t="n">
        <v>4500</v>
      </c>
      <c r="F156" s="26" t="n">
        <v>2</v>
      </c>
      <c r="G156" s="28" t="n">
        <v>600</v>
      </c>
      <c r="H156" s="29">
        <f>E156/D156</f>
        <v/>
      </c>
    </row>
    <row r="157">
      <c r="A157" s="26" t="n">
        <v>156</v>
      </c>
      <c r="B157" s="27" t="inlineStr">
        <is>
          <t>Realme</t>
        </is>
      </c>
      <c r="C157" s="27" t="inlineStr">
        <is>
          <t>Realme P1 Pro</t>
        </is>
      </c>
      <c r="D157" s="28" t="n">
        <v>22999</v>
      </c>
      <c r="E157" s="28" t="n">
        <v>10350</v>
      </c>
      <c r="F157" s="26" t="n">
        <v>4</v>
      </c>
      <c r="G157" s="28" t="n">
        <v>1380</v>
      </c>
      <c r="H157" s="29">
        <f>E157/D157</f>
        <v/>
      </c>
    </row>
    <row r="158">
      <c r="A158" s="26" t="n">
        <v>157</v>
      </c>
      <c r="B158" s="27" t="inlineStr">
        <is>
          <t>Realme</t>
        </is>
      </c>
      <c r="C158" s="27" t="inlineStr">
        <is>
          <t>Realme P1</t>
        </is>
      </c>
      <c r="D158" s="28" t="n">
        <v>15999</v>
      </c>
      <c r="E158" s="28" t="n">
        <v>7200</v>
      </c>
      <c r="F158" s="26" t="n">
        <v>3</v>
      </c>
      <c r="G158" s="28" t="n">
        <v>960</v>
      </c>
      <c r="H158" s="29">
        <f>E158/D158</f>
        <v/>
      </c>
    </row>
    <row r="159">
      <c r="A159" s="26" t="n">
        <v>158</v>
      </c>
      <c r="B159" s="27" t="inlineStr">
        <is>
          <t>Realme</t>
        </is>
      </c>
      <c r="C159" s="27" t="inlineStr">
        <is>
          <t>Realme Pad X</t>
        </is>
      </c>
      <c r="D159" s="28" t="n">
        <v>22999</v>
      </c>
      <c r="E159" s="28" t="n">
        <v>10350</v>
      </c>
      <c r="F159" s="26" t="n">
        <v>4</v>
      </c>
      <c r="G159" s="28" t="n">
        <v>1380</v>
      </c>
      <c r="H159" s="29">
        <f>E159/D159</f>
        <v/>
      </c>
    </row>
    <row r="160">
      <c r="A160" s="30" t="n">
        <v>159</v>
      </c>
      <c r="B160" s="31" t="inlineStr">
        <is>
          <t>Nothing</t>
        </is>
      </c>
      <c r="C160" s="31" t="inlineStr">
        <is>
          <t>Nothing Phone (2a) Plus</t>
        </is>
      </c>
      <c r="D160" s="32" t="n">
        <v>27999</v>
      </c>
      <c r="E160" s="32" t="n">
        <v>12600</v>
      </c>
      <c r="F160" s="30" t="n">
        <v>4</v>
      </c>
      <c r="G160" s="32" t="n">
        <v>1680</v>
      </c>
      <c r="H160" s="33">
        <f>E160/D160</f>
        <v/>
      </c>
    </row>
    <row r="161">
      <c r="A161" s="30" t="n">
        <v>160</v>
      </c>
      <c r="B161" s="31" t="inlineStr">
        <is>
          <t>Nothing</t>
        </is>
      </c>
      <c r="C161" s="31" t="inlineStr">
        <is>
          <t>Nothing Phone (2a)</t>
        </is>
      </c>
      <c r="D161" s="32" t="n">
        <v>23999</v>
      </c>
      <c r="E161" s="32" t="n">
        <v>10800</v>
      </c>
      <c r="F161" s="30" t="n">
        <v>4</v>
      </c>
      <c r="G161" s="32" t="n">
        <v>1440</v>
      </c>
      <c r="H161" s="33">
        <f>E161/D161</f>
        <v/>
      </c>
    </row>
    <row r="162">
      <c r="A162" s="30" t="n">
        <v>161</v>
      </c>
      <c r="B162" s="31" t="inlineStr">
        <is>
          <t>Nothing</t>
        </is>
      </c>
      <c r="C162" s="31" t="inlineStr">
        <is>
          <t>Nothing Phone (2)</t>
        </is>
      </c>
      <c r="D162" s="32" t="n">
        <v>44999</v>
      </c>
      <c r="E162" s="32" t="n">
        <v>20250</v>
      </c>
      <c r="F162" s="30" t="n">
        <v>5</v>
      </c>
      <c r="G162" s="32" t="n">
        <v>2700</v>
      </c>
      <c r="H162" s="33">
        <f>E162/D162</f>
        <v/>
      </c>
    </row>
    <row r="163">
      <c r="A163" s="30" t="n">
        <v>162</v>
      </c>
      <c r="B163" s="31" t="inlineStr">
        <is>
          <t>Nothing</t>
        </is>
      </c>
      <c r="C163" s="31" t="inlineStr">
        <is>
          <t>Nothing Phone (1)</t>
        </is>
      </c>
      <c r="D163" s="32" t="n">
        <v>34999</v>
      </c>
      <c r="E163" s="32" t="n">
        <v>15750</v>
      </c>
      <c r="F163" s="30" t="n">
        <v>5</v>
      </c>
      <c r="G163" s="32" t="n">
        <v>2100</v>
      </c>
      <c r="H163" s="33">
        <f>E163/D163</f>
        <v/>
      </c>
    </row>
    <row r="164">
      <c r="A164" s="30" t="n">
        <v>163</v>
      </c>
      <c r="B164" s="31" t="inlineStr">
        <is>
          <t>Nothing</t>
        </is>
      </c>
      <c r="C164" s="31" t="inlineStr">
        <is>
          <t>Nothing Ear (open)</t>
        </is>
      </c>
      <c r="D164" s="32" t="n">
        <v>8999</v>
      </c>
      <c r="E164" s="32" t="n">
        <v>4050</v>
      </c>
      <c r="F164" s="30" t="n">
        <v>3</v>
      </c>
      <c r="G164" s="32" t="n">
        <v>540</v>
      </c>
      <c r="H164" s="33">
        <f>E164/D164</f>
        <v/>
      </c>
    </row>
    <row r="165">
      <c r="A165" s="30" t="n">
        <v>164</v>
      </c>
      <c r="B165" s="31" t="inlineStr">
        <is>
          <t>Nothing</t>
        </is>
      </c>
      <c r="C165" s="31" t="inlineStr">
        <is>
          <t>Nothing Ear</t>
        </is>
      </c>
      <c r="D165" s="32" t="n">
        <v>8999</v>
      </c>
      <c r="E165" s="32" t="n">
        <v>4050</v>
      </c>
      <c r="F165" s="30" t="n">
        <v>3</v>
      </c>
      <c r="G165" s="32" t="n">
        <v>540</v>
      </c>
      <c r="H165" s="33">
        <f>E165/D165</f>
        <v/>
      </c>
    </row>
    <row r="166">
      <c r="A166" s="30" t="n">
        <v>165</v>
      </c>
      <c r="B166" s="31" t="inlineStr">
        <is>
          <t>Nothing</t>
        </is>
      </c>
      <c r="C166" s="31" t="inlineStr">
        <is>
          <t>Nothing Ear (a)</t>
        </is>
      </c>
      <c r="D166" s="32" t="n">
        <v>5999</v>
      </c>
      <c r="E166" s="32" t="n">
        <v>2700</v>
      </c>
      <c r="F166" s="30" t="n">
        <v>3</v>
      </c>
      <c r="G166" s="32" t="n">
        <v>360</v>
      </c>
      <c r="H166" s="33">
        <f>E166/D166</f>
        <v/>
      </c>
    </row>
    <row r="167">
      <c r="A167" s="30" t="n">
        <v>166</v>
      </c>
      <c r="B167" s="31" t="inlineStr">
        <is>
          <t>Nothing</t>
        </is>
      </c>
      <c r="C167" s="31" t="inlineStr">
        <is>
          <t>Nothing CMF Phone 1</t>
        </is>
      </c>
      <c r="D167" s="32" t="n">
        <v>15999</v>
      </c>
      <c r="E167" s="32" t="n">
        <v>7200</v>
      </c>
      <c r="F167" s="30" t="n">
        <v>3</v>
      </c>
      <c r="G167" s="32" t="n">
        <v>960</v>
      </c>
      <c r="H167" s="33">
        <f>E167/D167</f>
        <v/>
      </c>
    </row>
    <row r="168">
      <c r="A168" s="30" t="n">
        <v>167</v>
      </c>
      <c r="B168" s="31" t="inlineStr">
        <is>
          <t>Nothing</t>
        </is>
      </c>
      <c r="C168" s="31" t="inlineStr">
        <is>
          <t>Nothing CMF Buds Pro</t>
        </is>
      </c>
      <c r="D168" s="32" t="n">
        <v>4999</v>
      </c>
      <c r="E168" s="32" t="n">
        <v>2250</v>
      </c>
      <c r="F168" s="30" t="n">
        <v>2</v>
      </c>
      <c r="G168" s="32" t="n">
        <v>300</v>
      </c>
      <c r="H168" s="33">
        <f>E168/D168</f>
        <v/>
      </c>
    </row>
    <row r="169">
      <c r="A169" s="30" t="n">
        <v>168</v>
      </c>
      <c r="B169" s="31" t="inlineStr">
        <is>
          <t>Nothing</t>
        </is>
      </c>
      <c r="C169" s="31" t="inlineStr">
        <is>
          <t>Nothing CMF Watch Pro</t>
        </is>
      </c>
      <c r="D169" s="32" t="n">
        <v>3999</v>
      </c>
      <c r="E169" s="32" t="n">
        <v>1800</v>
      </c>
      <c r="F169" s="30" t="n">
        <v>2</v>
      </c>
      <c r="G169" s="32" t="n">
        <v>240</v>
      </c>
      <c r="H169" s="33">
        <f>E169/D169</f>
        <v/>
      </c>
    </row>
    <row r="170">
      <c r="A170" s="34" t="n">
        <v>169</v>
      </c>
      <c r="B170" s="35" t="inlineStr">
        <is>
          <t>Google</t>
        </is>
      </c>
      <c r="C170" s="35" t="inlineStr">
        <is>
          <t>Pixel 9 Pro XL</t>
        </is>
      </c>
      <c r="D170" s="36" t="n">
        <v>109999</v>
      </c>
      <c r="E170" s="36" t="n">
        <v>49500</v>
      </c>
      <c r="F170" s="34" t="n">
        <v>6</v>
      </c>
      <c r="G170" s="36" t="n">
        <v>6600</v>
      </c>
      <c r="H170" s="37">
        <f>E170/D170</f>
        <v/>
      </c>
    </row>
    <row r="171">
      <c r="A171" s="34" t="n">
        <v>170</v>
      </c>
      <c r="B171" s="35" t="inlineStr">
        <is>
          <t>Google</t>
        </is>
      </c>
      <c r="C171" s="35" t="inlineStr">
        <is>
          <t>Pixel 9 Pro</t>
        </is>
      </c>
      <c r="D171" s="36" t="n">
        <v>99999</v>
      </c>
      <c r="E171" s="36" t="n">
        <v>44999</v>
      </c>
      <c r="F171" s="34" t="n">
        <v>6</v>
      </c>
      <c r="G171" s="36" t="n">
        <v>6000</v>
      </c>
      <c r="H171" s="37">
        <f>E171/D171</f>
        <v/>
      </c>
    </row>
    <row r="172">
      <c r="A172" s="34" t="n">
        <v>171</v>
      </c>
      <c r="B172" s="35" t="inlineStr">
        <is>
          <t>Google</t>
        </is>
      </c>
      <c r="C172" s="35" t="inlineStr">
        <is>
          <t>Pixel 9</t>
        </is>
      </c>
      <c r="D172" s="36" t="n">
        <v>79999</v>
      </c>
      <c r="E172" s="36" t="n">
        <v>35999</v>
      </c>
      <c r="F172" s="34" t="n">
        <v>6</v>
      </c>
      <c r="G172" s="36" t="n">
        <v>4800</v>
      </c>
      <c r="H172" s="37">
        <f>E172/D172</f>
        <v/>
      </c>
    </row>
    <row r="173">
      <c r="A173" s="34" t="n">
        <v>172</v>
      </c>
      <c r="B173" s="35" t="inlineStr">
        <is>
          <t>Google</t>
        </is>
      </c>
      <c r="C173" s="35" t="inlineStr">
        <is>
          <t>Pixel 9 Pro Fold</t>
        </is>
      </c>
      <c r="D173" s="36" t="n">
        <v>179999</v>
      </c>
      <c r="E173" s="36" t="n">
        <v>80999</v>
      </c>
      <c r="F173" s="34" t="n">
        <v>5</v>
      </c>
      <c r="G173" s="36" t="n">
        <v>10800</v>
      </c>
      <c r="H173" s="37">
        <f>E173/D173</f>
        <v/>
      </c>
    </row>
    <row r="174">
      <c r="A174" s="34" t="n">
        <v>173</v>
      </c>
      <c r="B174" s="35" t="inlineStr">
        <is>
          <t>Google</t>
        </is>
      </c>
      <c r="C174" s="35" t="inlineStr">
        <is>
          <t>Pixel 8 Pro</t>
        </is>
      </c>
      <c r="D174" s="36" t="n">
        <v>99999</v>
      </c>
      <c r="E174" s="36" t="n">
        <v>44999</v>
      </c>
      <c r="F174" s="34" t="n">
        <v>6</v>
      </c>
      <c r="G174" s="36" t="n">
        <v>6000</v>
      </c>
      <c r="H174" s="37">
        <f>E174/D174</f>
        <v/>
      </c>
    </row>
    <row r="175">
      <c r="A175" s="34" t="n">
        <v>174</v>
      </c>
      <c r="B175" s="35" t="inlineStr">
        <is>
          <t>Google</t>
        </is>
      </c>
      <c r="C175" s="35" t="inlineStr">
        <is>
          <t>Pixel 8a</t>
        </is>
      </c>
      <c r="D175" s="36" t="n">
        <v>52999</v>
      </c>
      <c r="E175" s="36" t="n">
        <v>23850</v>
      </c>
      <c r="F175" s="34" t="n">
        <v>5</v>
      </c>
      <c r="G175" s="36" t="n">
        <v>3180</v>
      </c>
      <c r="H175" s="37">
        <f>E175/D175</f>
        <v/>
      </c>
    </row>
    <row r="176">
      <c r="A176" s="34" t="n">
        <v>175</v>
      </c>
      <c r="B176" s="35" t="inlineStr">
        <is>
          <t>Google</t>
        </is>
      </c>
      <c r="C176" s="35" t="inlineStr">
        <is>
          <t>Pixel 8</t>
        </is>
      </c>
      <c r="D176" s="36" t="n">
        <v>74999</v>
      </c>
      <c r="E176" s="36" t="n">
        <v>33750</v>
      </c>
      <c r="F176" s="34" t="n">
        <v>6</v>
      </c>
      <c r="G176" s="36" t="n">
        <v>4500</v>
      </c>
      <c r="H176" s="37">
        <f>E176/D176</f>
        <v/>
      </c>
    </row>
    <row r="177">
      <c r="A177" s="34" t="n">
        <v>176</v>
      </c>
      <c r="B177" s="35" t="inlineStr">
        <is>
          <t>Google</t>
        </is>
      </c>
      <c r="C177" s="35" t="inlineStr">
        <is>
          <t>Pixel 7a</t>
        </is>
      </c>
      <c r="D177" s="36" t="n">
        <v>43999</v>
      </c>
      <c r="E177" s="36" t="n">
        <v>19800</v>
      </c>
      <c r="F177" s="34" t="n">
        <v>5</v>
      </c>
      <c r="G177" s="36" t="n">
        <v>2640</v>
      </c>
      <c r="H177" s="37">
        <f>E177/D177</f>
        <v/>
      </c>
    </row>
    <row r="178">
      <c r="A178" s="34" t="n">
        <v>177</v>
      </c>
      <c r="B178" s="35" t="inlineStr">
        <is>
          <t>Google</t>
        </is>
      </c>
      <c r="C178" s="35" t="inlineStr">
        <is>
          <t>Pixel 7 Pro</t>
        </is>
      </c>
      <c r="D178" s="36" t="n">
        <v>84999</v>
      </c>
      <c r="E178" s="36" t="n">
        <v>38250</v>
      </c>
      <c r="F178" s="34" t="n">
        <v>6</v>
      </c>
      <c r="G178" s="36" t="n">
        <v>5100</v>
      </c>
      <c r="H178" s="37">
        <f>E178/D178</f>
        <v/>
      </c>
    </row>
    <row r="179">
      <c r="A179" s="34" t="n">
        <v>178</v>
      </c>
      <c r="B179" s="35" t="inlineStr">
        <is>
          <t>Google</t>
        </is>
      </c>
      <c r="C179" s="35" t="inlineStr">
        <is>
          <t>Pixel 7</t>
        </is>
      </c>
      <c r="D179" s="36" t="n">
        <v>59999</v>
      </c>
      <c r="E179" s="36" t="n">
        <v>26999</v>
      </c>
      <c r="F179" s="34" t="n">
        <v>5</v>
      </c>
      <c r="G179" s="36" t="n">
        <v>3600</v>
      </c>
      <c r="H179" s="37">
        <f>E179/D179</f>
        <v/>
      </c>
    </row>
    <row r="180">
      <c r="A180" s="34" t="n">
        <v>179</v>
      </c>
      <c r="B180" s="35" t="inlineStr">
        <is>
          <t>Google</t>
        </is>
      </c>
      <c r="C180" s="35" t="inlineStr">
        <is>
          <t>Pixel Tablet</t>
        </is>
      </c>
      <c r="D180" s="36" t="n">
        <v>59999</v>
      </c>
      <c r="E180" s="36" t="n">
        <v>26999</v>
      </c>
      <c r="F180" s="34" t="n">
        <v>5</v>
      </c>
      <c r="G180" s="36" t="n">
        <v>3600</v>
      </c>
      <c r="H180" s="37">
        <f>E180/D180</f>
        <v/>
      </c>
    </row>
    <row r="181">
      <c r="A181" s="34" t="n">
        <v>180</v>
      </c>
      <c r="B181" s="35" t="inlineStr">
        <is>
          <t>Google</t>
        </is>
      </c>
      <c r="C181" s="35" t="inlineStr">
        <is>
          <t>Pixel Watch 3</t>
        </is>
      </c>
      <c r="D181" s="36" t="n">
        <v>44999</v>
      </c>
      <c r="E181" s="36" t="n">
        <v>20250</v>
      </c>
      <c r="F181" s="34" t="n">
        <v>4</v>
      </c>
      <c r="G181" s="36" t="n">
        <v>2700</v>
      </c>
      <c r="H181" s="37">
        <f>E181/D181</f>
        <v/>
      </c>
    </row>
  </sheetData>
  <autoFilter ref="A1:H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22" customWidth="1" min="4" max="4"/>
    <col width="20" customWidth="1" min="5" max="5"/>
    <col width="22" customWidth="1" min="6" max="6"/>
    <col width="16" customWidth="1" min="7" max="7"/>
    <col width="16" customWidth="1" min="8" max="8"/>
  </cols>
  <sheetData>
    <row r="1" ht="35" customHeight="1">
      <c r="A1" s="1" t="inlineStr">
        <is>
          <t>Company</t>
        </is>
      </c>
      <c r="B1" s="1" t="inlineStr">
        <is>
          <t>Models</t>
        </is>
      </c>
      <c r="C1" s="1" t="inlineStr">
        <is>
          <t>Avg Retail Price (₹)</t>
        </is>
      </c>
      <c r="D1" s="1" t="inlineStr">
        <is>
          <t>Avg Rebuy Value (₹)</t>
        </is>
      </c>
      <c r="E1" s="1" t="inlineStr">
        <is>
          <t>Avg Lifetime (Yrs)</t>
        </is>
      </c>
      <c r="F1" s="1" t="inlineStr">
        <is>
          <t>Avg Scrap Value (₹)</t>
        </is>
      </c>
      <c r="G1" s="1" t="inlineStr">
        <is>
          <t>Min Price (₹)</t>
        </is>
      </c>
      <c r="H1" s="1" t="inlineStr">
        <is>
          <t>Max Price (₹)</t>
        </is>
      </c>
    </row>
    <row r="2">
      <c r="A2" s="3" t="inlineStr">
        <is>
          <t>Apple</t>
        </is>
      </c>
      <c r="B2" s="2" t="n">
        <v>25</v>
      </c>
      <c r="C2" s="4" t="n">
        <v>101460</v>
      </c>
      <c r="D2" s="4" t="n">
        <v>45657</v>
      </c>
      <c r="E2" s="2" t="n">
        <v>6.8</v>
      </c>
      <c r="F2" s="4" t="n">
        <v>6087</v>
      </c>
      <c r="G2" s="4" t="n">
        <v>26900</v>
      </c>
      <c r="H2" s="4" t="n">
        <v>249900</v>
      </c>
    </row>
    <row r="3">
      <c r="A3" s="35" t="inlineStr">
        <is>
          <t>Google</t>
        </is>
      </c>
      <c r="B3" s="34" t="n">
        <v>12</v>
      </c>
      <c r="C3" s="36" t="n">
        <v>82665</v>
      </c>
      <c r="D3" s="36" t="n">
        <v>37199</v>
      </c>
      <c r="E3" s="34" t="n">
        <v>5.4</v>
      </c>
      <c r="F3" s="36" t="n">
        <v>4960</v>
      </c>
      <c r="G3" s="36" t="n">
        <v>43999</v>
      </c>
      <c r="H3" s="36" t="n">
        <v>179999</v>
      </c>
    </row>
    <row r="4">
      <c r="A4" s="7" t="inlineStr">
        <is>
          <t>Samsung</t>
        </is>
      </c>
      <c r="B4" s="6" t="n">
        <v>28</v>
      </c>
      <c r="C4" s="8" t="n">
        <v>69570</v>
      </c>
      <c r="D4" s="8" t="n">
        <v>31306</v>
      </c>
      <c r="E4" s="6" t="n">
        <v>4.7</v>
      </c>
      <c r="F4" s="8" t="n">
        <v>4174</v>
      </c>
      <c r="G4" s="8" t="n">
        <v>11999</v>
      </c>
      <c r="H4" s="8" t="n">
        <v>164999</v>
      </c>
    </row>
    <row r="5">
      <c r="A5" s="11" t="inlineStr">
        <is>
          <t>OnePlus</t>
        </is>
      </c>
      <c r="B5" s="10" t="n">
        <v>20</v>
      </c>
      <c r="C5" s="12" t="n">
        <v>42449</v>
      </c>
      <c r="D5" s="12" t="n">
        <v>19102</v>
      </c>
      <c r="E5" s="10" t="n">
        <v>4.3</v>
      </c>
      <c r="F5" s="12" t="n">
        <v>2547</v>
      </c>
      <c r="G5" s="12" t="n">
        <v>11999</v>
      </c>
      <c r="H5" s="12" t="n">
        <v>139999</v>
      </c>
    </row>
    <row r="6">
      <c r="A6" s="19" t="inlineStr">
        <is>
          <t>Vivo</t>
        </is>
      </c>
      <c r="B6" s="18" t="n">
        <v>20</v>
      </c>
      <c r="C6" s="20" t="n">
        <v>37749</v>
      </c>
      <c r="D6" s="20" t="n">
        <v>16987</v>
      </c>
      <c r="E6" s="18" t="n">
        <v>4</v>
      </c>
      <c r="F6" s="20" t="n">
        <v>2265</v>
      </c>
      <c r="G6" s="20" t="n">
        <v>11999</v>
      </c>
      <c r="H6" s="20" t="n">
        <v>89999</v>
      </c>
    </row>
    <row r="7">
      <c r="A7" s="23" t="inlineStr">
        <is>
          <t>Oppo</t>
        </is>
      </c>
      <c r="B7" s="22" t="n">
        <v>20</v>
      </c>
      <c r="C7" s="24" t="n">
        <v>33649</v>
      </c>
      <c r="D7" s="24" t="n">
        <v>15142</v>
      </c>
      <c r="E7" s="22" t="n">
        <v>3.8</v>
      </c>
      <c r="F7" s="24" t="n">
        <v>2019</v>
      </c>
      <c r="G7" s="24" t="n">
        <v>12999</v>
      </c>
      <c r="H7" s="24" t="n">
        <v>99999</v>
      </c>
    </row>
    <row r="8">
      <c r="A8" s="15" t="inlineStr">
        <is>
          <t>Xiaomi</t>
        </is>
      </c>
      <c r="B8" s="14" t="n">
        <v>25</v>
      </c>
      <c r="C8" s="16" t="n">
        <v>31719</v>
      </c>
      <c r="D8" s="16" t="n">
        <v>14273</v>
      </c>
      <c r="E8" s="14" t="n">
        <v>3.9</v>
      </c>
      <c r="F8" s="16" t="n">
        <v>1903</v>
      </c>
      <c r="G8" s="16" t="n">
        <v>7999</v>
      </c>
      <c r="H8" s="16" t="n">
        <v>99999</v>
      </c>
    </row>
    <row r="9">
      <c r="A9" s="27" t="inlineStr">
        <is>
          <t>Realme</t>
        </is>
      </c>
      <c r="B9" s="26" t="n">
        <v>20</v>
      </c>
      <c r="C9" s="28" t="n">
        <v>22149</v>
      </c>
      <c r="D9" s="28" t="n">
        <v>9967</v>
      </c>
      <c r="E9" s="26" t="n">
        <v>3.5</v>
      </c>
      <c r="F9" s="28" t="n">
        <v>1329</v>
      </c>
      <c r="G9" s="28" t="n">
        <v>9999</v>
      </c>
      <c r="H9" s="28" t="n">
        <v>39999</v>
      </c>
    </row>
    <row r="10">
      <c r="A10" s="31" t="inlineStr">
        <is>
          <t>Nothing</t>
        </is>
      </c>
      <c r="B10" s="30" t="n">
        <v>10</v>
      </c>
      <c r="C10" s="32" t="n">
        <v>18099</v>
      </c>
      <c r="D10" s="32" t="n">
        <v>8145</v>
      </c>
      <c r="E10" s="30" t="n">
        <v>3.4</v>
      </c>
      <c r="F10" s="32" t="n">
        <v>1086</v>
      </c>
      <c r="G10" s="32" t="n">
        <v>3999</v>
      </c>
      <c r="H10" s="32" t="n">
        <v>44999</v>
      </c>
    </row>
    <row r="11">
      <c r="A11" s="38" t="inlineStr">
        <is>
          <t>TOTAL / AVERAGE</t>
        </is>
      </c>
      <c r="B11" s="38">
        <f>SUM(B2:B10)</f>
        <v/>
      </c>
      <c r="C11" s="39">
        <f>AVERAGE(C2:C10)</f>
        <v/>
      </c>
      <c r="D11" s="39">
        <f>AVERAGE(D2:D10)</f>
        <v/>
      </c>
      <c r="E11" s="40">
        <f>AVERAGE(E2:E10)</f>
        <v/>
      </c>
      <c r="F11" s="39">
        <f>AVERAGE(F2:F10)</f>
        <v/>
      </c>
      <c r="G11" s="39">
        <f>AVERAGE(G2:G10)</f>
        <v/>
      </c>
      <c r="H11" s="39">
        <f>AVERAGE(H2:H10)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2026-06-05T05:10:56Z</dcterms:created>
  <dcterms:modified xmlns:dcterms="http://purl.org/dc/terms/" xmlns:xsi="http://www.w3.org/2001/XMLSchema-instance" xsi:type="dcterms:W3CDTF">2026-06-05T05:10:56Z</dcterms:modified>
</cp:coreProperties>
</file>